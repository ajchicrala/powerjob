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owerjob\"/>
    </mc:Choice>
  </mc:AlternateContent>
  <xr:revisionPtr revIDLastSave="0" documentId="13_ncr:1_{BB1BE5B3-6D12-4CF2-9AA5-0403DBA0A2F2}" xr6:coauthVersionLast="47" xr6:coauthVersionMax="47" xr10:uidLastSave="{00000000-0000-0000-0000-000000000000}"/>
  <bookViews>
    <workbookView xWindow="-120" yWindow="-120" windowWidth="24240" windowHeight="13140" activeTab="3" xr2:uid="{1C37741A-9682-4B72-BC63-DDF2148DC411}"/>
  </bookViews>
  <sheets>
    <sheet name="Cotacoes" sheetId="1" r:id="rId1"/>
    <sheet name="Portal" sheetId="4" r:id="rId2"/>
    <sheet name="API" sheetId="5" r:id="rId3"/>
    <sheet name="Banco de Dados" sheetId="6" r:id="rId4"/>
  </sheets>
  <externalReferences>
    <externalReference r:id="rId5"/>
  </externalReferences>
  <definedNames>
    <definedName name="rng_completedPercent">[1]License!$D$1125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6" l="1"/>
  <c r="K8" i="6"/>
  <c r="L7" i="6"/>
  <c r="K7" i="6"/>
  <c r="L6" i="6"/>
  <c r="K6" i="6"/>
  <c r="L5" i="6"/>
  <c r="U10" i="6" s="1"/>
  <c r="K5" i="6"/>
  <c r="L8" i="5"/>
  <c r="K8" i="5"/>
  <c r="L7" i="5"/>
  <c r="K7" i="5"/>
  <c r="L6" i="5"/>
  <c r="K6" i="5"/>
  <c r="L5" i="5"/>
  <c r="U10" i="5" s="1"/>
  <c r="K5" i="5"/>
  <c r="U9" i="5" s="1"/>
  <c r="L8" i="4"/>
  <c r="K8" i="4"/>
  <c r="L7" i="4"/>
  <c r="K7" i="4"/>
  <c r="L6" i="4"/>
  <c r="K6" i="4"/>
  <c r="L5" i="4"/>
  <c r="U10" i="4" s="1"/>
  <c r="K5" i="4"/>
  <c r="L8" i="1"/>
  <c r="L7" i="1"/>
  <c r="L6" i="1"/>
  <c r="L5" i="1"/>
  <c r="U10" i="1" s="1"/>
  <c r="K6" i="1"/>
  <c r="K7" i="1"/>
  <c r="K8" i="1"/>
  <c r="K5" i="1"/>
  <c r="U9" i="1" s="1"/>
  <c r="K9" i="6" l="1"/>
  <c r="U5" i="6" s="1"/>
  <c r="L9" i="6"/>
  <c r="U6" i="6" s="1"/>
  <c r="U9" i="6"/>
  <c r="U11" i="6" s="1"/>
  <c r="U11" i="1"/>
  <c r="U11" i="5"/>
  <c r="K9" i="4"/>
  <c r="U5" i="4" s="1"/>
  <c r="L9" i="5"/>
  <c r="U6" i="5" s="1"/>
  <c r="K9" i="5"/>
  <c r="U5" i="5" s="1"/>
  <c r="L9" i="4"/>
  <c r="U6" i="4" s="1"/>
  <c r="U9" i="4"/>
  <c r="U11" i="4" s="1"/>
  <c r="L9" i="1"/>
  <c r="U6" i="1" s="1"/>
  <c r="K9" i="1"/>
  <c r="U5" i="1" s="1"/>
  <c r="U7" i="6" l="1"/>
  <c r="U7" i="1"/>
  <c r="U7" i="5"/>
  <c r="U7" i="4"/>
</calcChain>
</file>

<file path=xl/sharedStrings.xml><?xml version="1.0" encoding="utf-8"?>
<sst xmlns="http://schemas.openxmlformats.org/spreadsheetml/2006/main" count="172" uniqueCount="45">
  <si>
    <t>Status</t>
  </si>
  <si>
    <t>Tarefas e Status</t>
  </si>
  <si>
    <t>Tarefa</t>
  </si>
  <si>
    <t>Complexidade</t>
  </si>
  <si>
    <t>Responsável</t>
  </si>
  <si>
    <t>Progresso</t>
  </si>
  <si>
    <t>Dt. Entrega</t>
  </si>
  <si>
    <t>Prioridade</t>
  </si>
  <si>
    <t>Quadro Geral</t>
  </si>
  <si>
    <t>Prioridade 0</t>
  </si>
  <si>
    <t>Total</t>
  </si>
  <si>
    <t>Quantidade</t>
  </si>
  <si>
    <t>Finalizadas</t>
  </si>
  <si>
    <t>P0</t>
  </si>
  <si>
    <t>P1</t>
  </si>
  <si>
    <t>P2</t>
  </si>
  <si>
    <t>P3</t>
  </si>
  <si>
    <t>Total Geral</t>
  </si>
  <si>
    <t>Criação do banco de dados para receber eventos e cotações Coupa</t>
  </si>
  <si>
    <t>Baixa</t>
  </si>
  <si>
    <t>Finalizada</t>
  </si>
  <si>
    <t>Alexandre</t>
  </si>
  <si>
    <t>Criação da extração dos dados de eventos Coupa</t>
  </si>
  <si>
    <t>Média</t>
  </si>
  <si>
    <t>Criação da tabela para receber cotações Coupa</t>
  </si>
  <si>
    <t>Criação da extração dos dados de cotações Coupa</t>
  </si>
  <si>
    <t>Criação do envio de mensagem de alerta Telegram de erro</t>
  </si>
  <si>
    <t>Portal - Acompanhamento das Tarefas</t>
  </si>
  <si>
    <t>Cotações - Acompanhamento das Tarefas</t>
  </si>
  <si>
    <t>API - Acompanhamento das Tarefas</t>
  </si>
  <si>
    <t>Criação da tabela de usuários</t>
  </si>
  <si>
    <t>Criação da tela de login</t>
  </si>
  <si>
    <t>Criação da consulta dos dados para autenticação do usuário</t>
  </si>
  <si>
    <t>Criação da tabela de tipos de usuários</t>
  </si>
  <si>
    <t>Criação da tabela de empresas</t>
  </si>
  <si>
    <t>Criação da tabela de tipo de cotações</t>
  </si>
  <si>
    <t>Criação da tabela status das cotações</t>
  </si>
  <si>
    <t>Fase 2</t>
  </si>
  <si>
    <t>Criação da tela de cards</t>
  </si>
  <si>
    <t>Aguardando</t>
  </si>
  <si>
    <t>Criação da consulta de cotações para a empresa</t>
  </si>
  <si>
    <t>Criação do processo de relacionamento de eventos com a empresa</t>
  </si>
  <si>
    <t>Criação da tabela de relacionamento de eventos com a empresa</t>
  </si>
  <si>
    <t>Criação da tabela para registro de autenticação por portal de cotação</t>
  </si>
  <si>
    <t>Criação da tabela para registro de portais disponíveis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</si>
</sst>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/>
      <diagonal/>
    </border>
    <border>
      <left/>
      <right style="thin">
        <color theme="8" tint="-0.499984740745262"/>
      </right>
      <top style="thin">
        <color theme="8" tint="-0.499984740745262"/>
      </top>
      <bottom/>
      <diagonal/>
    </border>
    <border>
      <left/>
      <right/>
      <top style="thin">
        <color theme="8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0" xfId="0" applyFont="1"/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14" fontId="5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6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7" xfId="0" applyFont="1" applyBorder="1" applyAlignment="1">
      <alignment horizontal="center" vertical="top"/>
    </xf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 wrapText="1"/>
    </xf>
    <xf numFmtId="0" fontId="5" fillId="0" borderId="8" xfId="0" applyFont="1" applyBorder="1" applyAlignment="1">
      <alignment horizontal="center" vertical="top"/>
    </xf>
    <xf numFmtId="0" fontId="5" fillId="0" borderId="8" xfId="0" applyFont="1" applyBorder="1" applyAlignment="1">
      <alignment vertical="top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/>
    </xf>
    <xf numFmtId="0" fontId="0" fillId="0" borderId="6" xfId="0" applyBorder="1"/>
    <xf numFmtId="0" fontId="5" fillId="0" borderId="6" xfId="0" applyFont="1" applyFill="1" applyBorder="1" applyAlignment="1">
      <alignment vertical="top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accent1">
                    <a:lumMod val="75000"/>
                  </a:schemeClr>
                </a:solidFill>
              </a:rPr>
              <a:t>Tarefas por prioridade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Cotacoes!$J$5:$J$8</c:f>
              <c:strCache>
                <c:ptCount val="4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</c:strCache>
            </c:strRef>
          </c:cat>
          <c:val>
            <c:numRef>
              <c:f>Cotacoes!$K$5:$K$8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0-44C7-A247-002ACB52F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350255"/>
        <c:axId val="2069350735"/>
      </c:barChart>
      <c:catAx>
        <c:axId val="206935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50735"/>
        <c:crosses val="autoZero"/>
        <c:auto val="1"/>
        <c:lblAlgn val="ctr"/>
        <c:lblOffset val="100"/>
        <c:noMultiLvlLbl val="0"/>
      </c:catAx>
      <c:valAx>
        <c:axId val="206935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5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B4C-4908-A95C-2843524982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B4C-4908-A95C-2843524982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Cotacoes!$T$6:$T$7</c:f>
              <c:strCache>
                <c:ptCount val="2"/>
                <c:pt idx="0">
                  <c:v>Finalizadas</c:v>
                </c:pt>
                <c:pt idx="1">
                  <c:v>Total Geral</c:v>
                </c:pt>
              </c:strCache>
            </c:strRef>
          </c:cat>
          <c:val>
            <c:numRef>
              <c:f>Cotacoes!$U$6:$U$7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9-4877-8FB4-B18D93ECFC3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5A8-4850-85CE-E216264D02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5A8-4850-85CE-E216264D02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Cotacoes!$T$10:$T$11</c:f>
              <c:strCache>
                <c:ptCount val="2"/>
                <c:pt idx="0">
                  <c:v>Finalizadas</c:v>
                </c:pt>
                <c:pt idx="1">
                  <c:v>Prioridade 0</c:v>
                </c:pt>
              </c:strCache>
            </c:strRef>
          </c:cat>
          <c:val>
            <c:numRef>
              <c:f>Cotacoes!$U$10:$U$11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7-4A22-9DEA-19FB1CBD29E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accent1">
                    <a:lumMod val="75000"/>
                  </a:schemeClr>
                </a:solidFill>
              </a:rPr>
              <a:t>Tarefas por prioridade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Portal!$J$5:$J$8</c:f>
              <c:strCache>
                <c:ptCount val="4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</c:strCache>
            </c:strRef>
          </c:cat>
          <c:val>
            <c:numRef>
              <c:f>Portal!$K$5:$K$8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1-4EF7-9C05-96BF16440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350255"/>
        <c:axId val="2069350735"/>
      </c:barChart>
      <c:catAx>
        <c:axId val="206935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50735"/>
        <c:crosses val="autoZero"/>
        <c:auto val="1"/>
        <c:lblAlgn val="ctr"/>
        <c:lblOffset val="100"/>
        <c:noMultiLvlLbl val="0"/>
      </c:catAx>
      <c:valAx>
        <c:axId val="206935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5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0A1-4E42-ADC8-78081791B5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0A1-4E42-ADC8-78081791B5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Portal!$T$6:$T$7</c:f>
              <c:strCache>
                <c:ptCount val="2"/>
                <c:pt idx="0">
                  <c:v>Finalizadas</c:v>
                </c:pt>
                <c:pt idx="1">
                  <c:v>Total Geral</c:v>
                </c:pt>
              </c:strCache>
            </c:strRef>
          </c:cat>
          <c:val>
            <c:numRef>
              <c:f>Portal!$U$6:$U$7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A1-4E42-ADC8-78081791B51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5EF-4C9E-AAF6-22DFA81287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5EF-4C9E-AAF6-22DFA81287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Portal!$T$10:$T$11</c:f>
              <c:strCache>
                <c:ptCount val="2"/>
                <c:pt idx="0">
                  <c:v>Finalizadas</c:v>
                </c:pt>
                <c:pt idx="1">
                  <c:v>Prioridade 0</c:v>
                </c:pt>
              </c:strCache>
            </c:strRef>
          </c:cat>
          <c:val>
            <c:numRef>
              <c:f>Portal!$U$10:$U$11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EF-4C9E-AAF6-22DFA81287C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accent1">
                    <a:lumMod val="75000"/>
                  </a:schemeClr>
                </a:solidFill>
              </a:rPr>
              <a:t>Tarefas por prioridade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API!$J$5:$J$8</c:f>
              <c:strCache>
                <c:ptCount val="4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</c:strCache>
            </c:strRef>
          </c:cat>
          <c:val>
            <c:numRef>
              <c:f>API!$K$5:$K$8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C-4401-9A36-2989639E2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350255"/>
        <c:axId val="2069350735"/>
      </c:barChart>
      <c:catAx>
        <c:axId val="206935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50735"/>
        <c:crosses val="autoZero"/>
        <c:auto val="1"/>
        <c:lblAlgn val="ctr"/>
        <c:lblOffset val="100"/>
        <c:noMultiLvlLbl val="0"/>
      </c:catAx>
      <c:valAx>
        <c:axId val="206935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5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9EE-4066-A696-BA0DC0EA47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9EE-4066-A696-BA0DC0EA47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API!$T$6:$T$7</c:f>
              <c:strCache>
                <c:ptCount val="2"/>
                <c:pt idx="0">
                  <c:v>Finalizadas</c:v>
                </c:pt>
                <c:pt idx="1">
                  <c:v>Total Geral</c:v>
                </c:pt>
              </c:strCache>
            </c:strRef>
          </c:cat>
          <c:val>
            <c:numRef>
              <c:f>API!$U$6:$U$7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EE-4066-A696-BA0DC0EA473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262-400C-AF98-C2FD6525A3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262-400C-AF98-C2FD6525A3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API!$T$10:$T$11</c:f>
              <c:strCache>
                <c:ptCount val="2"/>
                <c:pt idx="0">
                  <c:v>Finalizadas</c:v>
                </c:pt>
                <c:pt idx="1">
                  <c:v>Prioridade 0</c:v>
                </c:pt>
              </c:strCache>
            </c:strRef>
          </c:cat>
          <c:val>
            <c:numRef>
              <c:f>API!$U$10:$U$11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62-400C-AF98-C2FD6525A35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accent1">
                    <a:lumMod val="75000"/>
                  </a:schemeClr>
                </a:solidFill>
              </a:rPr>
              <a:t>Tarefas por prioridade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'Banco de Dados'!$J$5:$J$8</c:f>
              <c:strCache>
                <c:ptCount val="4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</c:strCache>
            </c:strRef>
          </c:cat>
          <c:val>
            <c:numRef>
              <c:f>'Banco de Dados'!$K$5:$K$8</c:f>
              <c:numCache>
                <c:formatCode>General</c:formatCode>
                <c:ptCount val="4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7-4D9D-B465-F21CA28B4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350255"/>
        <c:axId val="2069350735"/>
      </c:barChart>
      <c:catAx>
        <c:axId val="206935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50735"/>
        <c:crosses val="autoZero"/>
        <c:auto val="1"/>
        <c:lblAlgn val="ctr"/>
        <c:lblOffset val="100"/>
        <c:noMultiLvlLbl val="0"/>
      </c:catAx>
      <c:valAx>
        <c:axId val="206935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935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EC-4CB8-82CC-4BC116E4DD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EC-4CB8-82CC-4BC116E4DD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'Banco de Dados'!$T$6:$T$7</c:f>
              <c:strCache>
                <c:ptCount val="2"/>
                <c:pt idx="0">
                  <c:v>Finalizadas</c:v>
                </c:pt>
                <c:pt idx="1">
                  <c:v>Total Geral</c:v>
                </c:pt>
              </c:strCache>
            </c:strRef>
          </c:cat>
          <c:val>
            <c:numRef>
              <c:f>'Banco de Dados'!$U$6:$U$7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EC-4CB8-82CC-4BC116E4DD4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48-4550-A2E4-60C6CAEC19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48-4550-A2E4-60C6CAEC19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'Banco de Dados'!$T$10:$T$11</c:f>
              <c:strCache>
                <c:ptCount val="2"/>
                <c:pt idx="0">
                  <c:v>Finalizadas</c:v>
                </c:pt>
                <c:pt idx="1">
                  <c:v>Prioridade 0</c:v>
                </c:pt>
              </c:strCache>
            </c:strRef>
          </c:cat>
          <c:val>
            <c:numRef>
              <c:f>'Banco de Dados'!$U$10:$U$11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48-4550-A2E4-60C6CAEC195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29</xdr:row>
      <xdr:rowOff>9525</xdr:rowOff>
    </xdr:from>
    <xdr:to>
      <xdr:col>12</xdr:col>
      <xdr:colOff>0</xdr:colOff>
      <xdr:row>38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7CF36ED-1995-FED1-F291-11F2670F7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</xdr:colOff>
      <xdr:row>19</xdr:row>
      <xdr:rowOff>42863</xdr:rowOff>
    </xdr:from>
    <xdr:to>
      <xdr:col>12</xdr:col>
      <xdr:colOff>0</xdr:colOff>
      <xdr:row>28</xdr:row>
      <xdr:rowOff>152401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3AB112C-54A0-9909-1F80-82BB597CC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9</xdr:row>
      <xdr:rowOff>52388</xdr:rowOff>
    </xdr:from>
    <xdr:to>
      <xdr:col>11</xdr:col>
      <xdr:colOff>885825</xdr:colOff>
      <xdr:row>18</xdr:row>
      <xdr:rowOff>180975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B2F3458-9A6A-ED53-29B1-5D7319107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29</xdr:row>
      <xdr:rowOff>9525</xdr:rowOff>
    </xdr:from>
    <xdr:to>
      <xdr:col>12</xdr:col>
      <xdr:colOff>0</xdr:colOff>
      <xdr:row>38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1C7279-D3FE-4C19-A0C1-FCD88D99B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</xdr:colOff>
      <xdr:row>19</xdr:row>
      <xdr:rowOff>42863</xdr:rowOff>
    </xdr:from>
    <xdr:to>
      <xdr:col>12</xdr:col>
      <xdr:colOff>0</xdr:colOff>
      <xdr:row>28</xdr:row>
      <xdr:rowOff>152401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85BED0A-3329-4396-8C21-2F40869E9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9</xdr:row>
      <xdr:rowOff>52388</xdr:rowOff>
    </xdr:from>
    <xdr:to>
      <xdr:col>11</xdr:col>
      <xdr:colOff>885825</xdr:colOff>
      <xdr:row>18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80559F3-4FBF-4A10-97F6-7B70E8F34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29</xdr:row>
      <xdr:rowOff>9525</xdr:rowOff>
    </xdr:from>
    <xdr:to>
      <xdr:col>12</xdr:col>
      <xdr:colOff>0</xdr:colOff>
      <xdr:row>38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D982EF-DE5D-45D9-91B2-25E58805B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</xdr:colOff>
      <xdr:row>19</xdr:row>
      <xdr:rowOff>42863</xdr:rowOff>
    </xdr:from>
    <xdr:to>
      <xdr:col>12</xdr:col>
      <xdr:colOff>0</xdr:colOff>
      <xdr:row>28</xdr:row>
      <xdr:rowOff>152401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831BF3-C91E-45AA-BF02-FF62125BD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9</xdr:row>
      <xdr:rowOff>52388</xdr:rowOff>
    </xdr:from>
    <xdr:to>
      <xdr:col>11</xdr:col>
      <xdr:colOff>885825</xdr:colOff>
      <xdr:row>18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245D313-FC8F-48F7-9BAF-E6B48DD45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29</xdr:row>
      <xdr:rowOff>9525</xdr:rowOff>
    </xdr:from>
    <xdr:to>
      <xdr:col>12</xdr:col>
      <xdr:colOff>0</xdr:colOff>
      <xdr:row>38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1D537F-7C79-4EC9-8517-2FEEE229F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</xdr:colOff>
      <xdr:row>19</xdr:row>
      <xdr:rowOff>42863</xdr:rowOff>
    </xdr:from>
    <xdr:to>
      <xdr:col>12</xdr:col>
      <xdr:colOff>0</xdr:colOff>
      <xdr:row>28</xdr:row>
      <xdr:rowOff>152401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672E07-2FB3-4AAF-BF48-B9E7AC4B4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9</xdr:row>
      <xdr:rowOff>52388</xdr:rowOff>
    </xdr:from>
    <xdr:to>
      <xdr:col>11</xdr:col>
      <xdr:colOff>885825</xdr:colOff>
      <xdr:row>18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2574186-DD2B-4108-8366-64BEF1184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andre.chicrala\Downloads\Simple-Project-Plan-Template.xlsx" TargetMode="External"/><Relationship Id="rId1" Type="http://schemas.openxmlformats.org/officeDocument/2006/relationships/externalLinkPath" Target="file:///C:\Users\alexandre.chicrala\Downloads\Simple-Project-Plan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Plan"/>
      <sheetName val="Intro"/>
      <sheetName val="License"/>
    </sheetNames>
    <sheetDataSet>
      <sheetData sheetId="0"/>
      <sheetData sheetId="1"/>
      <sheetData sheetId="2">
        <row r="1125">
          <cell r="D1125">
            <v>0.33666666666666661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349F-167F-402B-9FAA-1FC281E0ED0E}">
  <dimension ref="B1:U39"/>
  <sheetViews>
    <sheetView workbookViewId="0">
      <selection activeCell="B14" sqref="B14"/>
    </sheetView>
  </sheetViews>
  <sheetFormatPr defaultRowHeight="15" x14ac:dyDescent="0.25"/>
  <cols>
    <col min="1" max="1" width="2" customWidth="1"/>
    <col min="2" max="2" width="61.140625" style="2" customWidth="1"/>
    <col min="3" max="3" width="11.140625" style="1" customWidth="1"/>
    <col min="4" max="4" width="16" customWidth="1"/>
    <col min="5" max="5" width="15.7109375" customWidth="1"/>
    <col min="6" max="6" width="18.140625" customWidth="1"/>
    <col min="7" max="7" width="11" customWidth="1"/>
    <col min="8" max="8" width="11.85546875" customWidth="1"/>
    <col min="9" max="9" width="1.140625" customWidth="1"/>
    <col min="10" max="10" width="17.85546875" customWidth="1"/>
    <col min="11" max="11" width="14.140625" customWidth="1"/>
    <col min="12" max="12" width="13.42578125" customWidth="1"/>
    <col min="14" max="14" width="11.85546875" customWidth="1"/>
    <col min="20" max="20" width="11.42578125" customWidth="1"/>
    <col min="21" max="21" width="5.5703125" customWidth="1"/>
  </cols>
  <sheetData>
    <row r="1" spans="2:21" ht="28.5" customHeight="1" x14ac:dyDescent="0.25">
      <c r="B1" s="19" t="s">
        <v>28</v>
      </c>
      <c r="C1" s="19"/>
      <c r="D1" s="19"/>
      <c r="E1" s="19"/>
      <c r="F1" s="19"/>
      <c r="G1" s="19"/>
      <c r="H1" s="19"/>
      <c r="J1" s="19" t="s">
        <v>8</v>
      </c>
      <c r="K1" s="19"/>
      <c r="L1" s="19"/>
    </row>
    <row r="2" spans="2:21" ht="6" customHeight="1" x14ac:dyDescent="0.25"/>
    <row r="3" spans="2:21" ht="19.5" customHeight="1" x14ac:dyDescent="0.25">
      <c r="B3" s="18" t="s">
        <v>1</v>
      </c>
      <c r="C3" s="18"/>
      <c r="D3" s="18"/>
      <c r="E3" s="18"/>
      <c r="F3" s="18"/>
      <c r="G3" s="18"/>
      <c r="H3" s="18"/>
      <c r="J3" s="20"/>
      <c r="K3" s="20"/>
      <c r="L3" s="20"/>
    </row>
    <row r="4" spans="2:21" x14ac:dyDescent="0.25">
      <c r="B4" s="3" t="s">
        <v>2</v>
      </c>
      <c r="C4" s="4" t="s">
        <v>7</v>
      </c>
      <c r="D4" s="5" t="s">
        <v>3</v>
      </c>
      <c r="E4" s="5" t="s">
        <v>0</v>
      </c>
      <c r="F4" s="5" t="s">
        <v>4</v>
      </c>
      <c r="G4" s="5" t="s">
        <v>5</v>
      </c>
      <c r="H4" s="5" t="s">
        <v>6</v>
      </c>
      <c r="J4" s="6" t="s">
        <v>7</v>
      </c>
      <c r="K4" s="8" t="s">
        <v>11</v>
      </c>
      <c r="L4" s="7" t="s">
        <v>12</v>
      </c>
    </row>
    <row r="5" spans="2:21" x14ac:dyDescent="0.25">
      <c r="B5" s="13" t="s">
        <v>22</v>
      </c>
      <c r="C5" s="14">
        <v>0</v>
      </c>
      <c r="D5" s="15" t="s">
        <v>23</v>
      </c>
      <c r="E5" s="15" t="s">
        <v>20</v>
      </c>
      <c r="F5" s="15" t="s">
        <v>21</v>
      </c>
      <c r="G5" s="15">
        <v>100</v>
      </c>
      <c r="H5" s="14"/>
      <c r="J5" s="9" t="s">
        <v>13</v>
      </c>
      <c r="K5" s="9">
        <f>COUNTIF(C:C,0)</f>
        <v>2</v>
      </c>
      <c r="L5" s="9">
        <f>COUNTIFS($E:$E,"Finalizada",$C:$C,0)</f>
        <v>2</v>
      </c>
      <c r="T5" t="s">
        <v>17</v>
      </c>
      <c r="U5">
        <f>K9</f>
        <v>4</v>
      </c>
    </row>
    <row r="6" spans="2:21" x14ac:dyDescent="0.25">
      <c r="B6" s="13" t="s">
        <v>25</v>
      </c>
      <c r="C6" s="14">
        <v>0</v>
      </c>
      <c r="D6" s="15" t="s">
        <v>23</v>
      </c>
      <c r="E6" s="15" t="s">
        <v>20</v>
      </c>
      <c r="F6" s="15" t="s">
        <v>21</v>
      </c>
      <c r="G6" s="15">
        <v>100</v>
      </c>
      <c r="H6" s="16"/>
      <c r="J6" s="9" t="s">
        <v>14</v>
      </c>
      <c r="K6" s="9">
        <f>COUNTIF(C:C,1)</f>
        <v>2</v>
      </c>
      <c r="L6" s="9">
        <f>COUNTIFS($E:$E,"Finalizada",$C:$C,1)</f>
        <v>1</v>
      </c>
      <c r="T6" t="s">
        <v>12</v>
      </c>
      <c r="U6">
        <f>L9</f>
        <v>3</v>
      </c>
    </row>
    <row r="7" spans="2:21" x14ac:dyDescent="0.25">
      <c r="B7" s="13" t="s">
        <v>26</v>
      </c>
      <c r="C7" s="14">
        <v>1</v>
      </c>
      <c r="D7" s="15" t="s">
        <v>19</v>
      </c>
      <c r="E7" s="15" t="s">
        <v>20</v>
      </c>
      <c r="F7" s="15" t="s">
        <v>21</v>
      </c>
      <c r="G7" s="15">
        <v>100</v>
      </c>
      <c r="H7" s="14"/>
      <c r="J7" s="9" t="s">
        <v>15</v>
      </c>
      <c r="K7" s="9">
        <f>COUNTIF(C:C,2)</f>
        <v>0</v>
      </c>
      <c r="L7" s="9">
        <f>COUNTIFS($E:$E,"Finalizada",$C:$C,2)</f>
        <v>0</v>
      </c>
      <c r="T7" t="s">
        <v>17</v>
      </c>
      <c r="U7">
        <f>U5-U6</f>
        <v>1</v>
      </c>
    </row>
    <row r="8" spans="2:21" ht="15.75" customHeight="1" x14ac:dyDescent="0.25">
      <c r="B8" s="24" t="s">
        <v>37</v>
      </c>
      <c r="C8" s="22"/>
      <c r="D8" s="23"/>
      <c r="E8" s="23"/>
      <c r="F8" s="23"/>
      <c r="G8" s="23">
        <v>0</v>
      </c>
      <c r="H8" s="22"/>
      <c r="J8" s="9" t="s">
        <v>16</v>
      </c>
      <c r="K8" s="9">
        <f>COUNTIF(C:C,3)</f>
        <v>0</v>
      </c>
      <c r="L8" s="9">
        <f>COUNTIFS($E:$E,"Finalizada",$C:$C,3)</f>
        <v>0</v>
      </c>
    </row>
    <row r="9" spans="2:21" x14ac:dyDescent="0.25">
      <c r="B9" s="25" t="s">
        <v>41</v>
      </c>
      <c r="C9" s="26">
        <v>1</v>
      </c>
      <c r="D9" s="27" t="s">
        <v>23</v>
      </c>
      <c r="E9" s="27" t="s">
        <v>39</v>
      </c>
      <c r="F9" s="27" t="s">
        <v>21</v>
      </c>
      <c r="G9" s="27">
        <v>0</v>
      </c>
      <c r="H9" s="26"/>
      <c r="J9" s="10" t="s">
        <v>10</v>
      </c>
      <c r="K9" s="11">
        <f>SUM(K5:K8)</f>
        <v>4</v>
      </c>
      <c r="L9" s="11">
        <f>SUM(L5:L8)</f>
        <v>3</v>
      </c>
      <c r="T9" t="s">
        <v>9</v>
      </c>
      <c r="U9">
        <f>K5</f>
        <v>2</v>
      </c>
    </row>
    <row r="10" spans="2:21" x14ac:dyDescent="0.25">
      <c r="B10" s="31"/>
      <c r="C10" s="32"/>
      <c r="D10" s="33"/>
      <c r="E10" s="33"/>
      <c r="F10" s="33"/>
      <c r="G10" s="34">
        <v>0</v>
      </c>
      <c r="H10" s="33"/>
      <c r="J10" s="12"/>
      <c r="K10" s="17"/>
      <c r="L10" s="17"/>
      <c r="T10" t="s">
        <v>12</v>
      </c>
      <c r="U10">
        <f>L5</f>
        <v>2</v>
      </c>
    </row>
    <row r="11" spans="2:21" x14ac:dyDescent="0.25">
      <c r="B11" s="31"/>
      <c r="C11" s="32"/>
      <c r="D11" s="33"/>
      <c r="E11" s="33"/>
      <c r="F11" s="33"/>
      <c r="G11" s="34">
        <v>0</v>
      </c>
      <c r="H11" s="33"/>
      <c r="T11" t="s">
        <v>9</v>
      </c>
      <c r="U11">
        <f>U9-U10</f>
        <v>0</v>
      </c>
    </row>
    <row r="12" spans="2:21" x14ac:dyDescent="0.25">
      <c r="B12" s="28"/>
      <c r="C12" s="29"/>
      <c r="D12" s="30"/>
      <c r="E12" s="30"/>
      <c r="F12" s="30"/>
      <c r="G12" s="30">
        <v>0</v>
      </c>
      <c r="H12" s="29"/>
    </row>
    <row r="13" spans="2:21" x14ac:dyDescent="0.25">
      <c r="B13" s="13"/>
      <c r="C13" s="14"/>
      <c r="D13" s="15"/>
      <c r="E13" s="15"/>
      <c r="F13" s="15"/>
      <c r="G13" s="15">
        <v>0</v>
      </c>
      <c r="H13" s="14"/>
    </row>
    <row r="14" spans="2:21" x14ac:dyDescent="0.25">
      <c r="B14" s="13"/>
      <c r="C14" s="14"/>
      <c r="D14" s="15"/>
      <c r="E14" s="15"/>
      <c r="F14" s="15"/>
      <c r="G14" s="15">
        <v>0</v>
      </c>
      <c r="H14" s="14"/>
    </row>
    <row r="15" spans="2:21" x14ac:dyDescent="0.25">
      <c r="B15" s="13"/>
      <c r="C15" s="14"/>
      <c r="D15" s="15"/>
      <c r="E15" s="15"/>
      <c r="F15" s="15"/>
      <c r="G15" s="15">
        <v>0</v>
      </c>
      <c r="H15" s="14"/>
    </row>
    <row r="16" spans="2:21" x14ac:dyDescent="0.25">
      <c r="B16" s="13"/>
      <c r="C16" s="14"/>
      <c r="D16" s="15"/>
      <c r="E16" s="15"/>
      <c r="F16" s="15"/>
      <c r="G16" s="15">
        <v>0</v>
      </c>
      <c r="H16" s="14"/>
    </row>
    <row r="17" spans="2:8" x14ac:dyDescent="0.25">
      <c r="B17" s="13"/>
      <c r="C17" s="14"/>
      <c r="D17" s="15"/>
      <c r="E17" s="15"/>
      <c r="F17" s="15"/>
      <c r="G17" s="15">
        <v>0</v>
      </c>
      <c r="H17" s="14"/>
    </row>
    <row r="18" spans="2:8" x14ac:dyDescent="0.25">
      <c r="B18" s="13"/>
      <c r="C18" s="14"/>
      <c r="D18" s="15"/>
      <c r="E18" s="15"/>
      <c r="F18" s="15"/>
      <c r="G18" s="15">
        <v>0</v>
      </c>
      <c r="H18" s="14"/>
    </row>
    <row r="19" spans="2:8" x14ac:dyDescent="0.25">
      <c r="B19" s="13"/>
      <c r="C19" s="14"/>
      <c r="D19" s="15"/>
      <c r="E19" s="15"/>
      <c r="F19" s="15"/>
      <c r="G19" s="15">
        <v>0</v>
      </c>
      <c r="H19" s="14"/>
    </row>
    <row r="20" spans="2:8" x14ac:dyDescent="0.25">
      <c r="B20" s="13"/>
      <c r="C20" s="14"/>
      <c r="D20" s="15"/>
      <c r="E20" s="15"/>
      <c r="F20" s="15"/>
      <c r="G20" s="15">
        <v>0</v>
      </c>
      <c r="H20" s="14"/>
    </row>
    <row r="21" spans="2:8" x14ac:dyDescent="0.25">
      <c r="B21" s="13"/>
      <c r="C21" s="14"/>
      <c r="D21" s="15"/>
      <c r="E21" s="15"/>
      <c r="F21" s="15"/>
      <c r="G21" s="15">
        <v>0</v>
      </c>
      <c r="H21" s="14"/>
    </row>
    <row r="22" spans="2:8" x14ac:dyDescent="0.25">
      <c r="B22" s="13"/>
      <c r="C22" s="14"/>
      <c r="D22" s="15"/>
      <c r="E22" s="15"/>
      <c r="F22" s="15"/>
      <c r="G22" s="15">
        <v>0</v>
      </c>
      <c r="H22" s="14"/>
    </row>
    <row r="23" spans="2:8" x14ac:dyDescent="0.25">
      <c r="B23" s="13"/>
      <c r="C23" s="14"/>
      <c r="D23" s="15"/>
      <c r="E23" s="15"/>
      <c r="F23" s="15"/>
      <c r="G23" s="15">
        <v>0</v>
      </c>
      <c r="H23" s="14"/>
    </row>
    <row r="24" spans="2:8" x14ac:dyDescent="0.25">
      <c r="B24" s="13"/>
      <c r="C24" s="14"/>
      <c r="D24" s="15"/>
      <c r="E24" s="15"/>
      <c r="F24" s="15"/>
      <c r="G24" s="15">
        <v>0</v>
      </c>
      <c r="H24" s="14"/>
    </row>
    <row r="25" spans="2:8" x14ac:dyDescent="0.25">
      <c r="B25" s="13"/>
      <c r="C25" s="14"/>
      <c r="D25" s="15"/>
      <c r="E25" s="15"/>
      <c r="F25" s="15"/>
      <c r="G25" s="15">
        <v>0</v>
      </c>
      <c r="H25" s="14"/>
    </row>
    <row r="26" spans="2:8" x14ac:dyDescent="0.25">
      <c r="B26" s="13"/>
      <c r="C26" s="14"/>
      <c r="D26" s="15"/>
      <c r="E26" s="15"/>
      <c r="F26" s="15"/>
      <c r="G26" s="15">
        <v>0</v>
      </c>
      <c r="H26" s="14"/>
    </row>
    <row r="27" spans="2:8" x14ac:dyDescent="0.25">
      <c r="B27" s="13"/>
      <c r="C27" s="14"/>
      <c r="D27" s="15"/>
      <c r="E27" s="15"/>
      <c r="F27" s="15"/>
      <c r="G27" s="15">
        <v>0</v>
      </c>
      <c r="H27" s="14"/>
    </row>
    <row r="28" spans="2:8" x14ac:dyDescent="0.25">
      <c r="B28" s="13"/>
      <c r="C28" s="14"/>
      <c r="D28" s="15"/>
      <c r="E28" s="15"/>
      <c r="F28" s="15"/>
      <c r="G28" s="15">
        <v>0</v>
      </c>
      <c r="H28" s="14"/>
    </row>
    <row r="29" spans="2:8" x14ac:dyDescent="0.25">
      <c r="B29" s="13"/>
      <c r="C29" s="14"/>
      <c r="D29" s="15"/>
      <c r="E29" s="15"/>
      <c r="F29" s="15"/>
      <c r="G29" s="15">
        <v>0</v>
      </c>
      <c r="H29" s="14"/>
    </row>
    <row r="30" spans="2:8" x14ac:dyDescent="0.25">
      <c r="B30" s="13"/>
      <c r="C30" s="14"/>
      <c r="D30" s="15"/>
      <c r="E30" s="15"/>
      <c r="F30" s="15"/>
      <c r="G30" s="15">
        <v>0</v>
      </c>
      <c r="H30" s="14"/>
    </row>
    <row r="31" spans="2:8" x14ac:dyDescent="0.25">
      <c r="B31" s="13"/>
      <c r="C31" s="14"/>
      <c r="D31" s="15"/>
      <c r="E31" s="15"/>
      <c r="F31" s="15"/>
      <c r="G31" s="15">
        <v>0</v>
      </c>
      <c r="H31" s="14"/>
    </row>
    <row r="32" spans="2:8" x14ac:dyDescent="0.25">
      <c r="B32" s="13"/>
      <c r="C32" s="14"/>
      <c r="D32" s="15"/>
      <c r="E32" s="15"/>
      <c r="F32" s="15"/>
      <c r="G32" s="15">
        <v>0</v>
      </c>
      <c r="H32" s="14"/>
    </row>
    <row r="33" spans="2:8" x14ac:dyDescent="0.25">
      <c r="B33" s="13"/>
      <c r="C33" s="14"/>
      <c r="D33" s="15"/>
      <c r="E33" s="15"/>
      <c r="F33" s="15"/>
      <c r="G33" s="15">
        <v>0</v>
      </c>
      <c r="H33" s="14"/>
    </row>
    <row r="34" spans="2:8" x14ac:dyDescent="0.25">
      <c r="B34" s="13"/>
      <c r="C34" s="14"/>
      <c r="D34" s="15"/>
      <c r="E34" s="15"/>
      <c r="F34" s="15"/>
      <c r="G34" s="15">
        <v>0</v>
      </c>
      <c r="H34" s="14"/>
    </row>
    <row r="35" spans="2:8" x14ac:dyDescent="0.25">
      <c r="B35" s="13"/>
      <c r="C35" s="14"/>
      <c r="D35" s="15"/>
      <c r="E35" s="15"/>
      <c r="F35" s="15"/>
      <c r="G35" s="15">
        <v>0</v>
      </c>
      <c r="H35" s="14"/>
    </row>
    <row r="36" spans="2:8" x14ac:dyDescent="0.25">
      <c r="B36" s="13"/>
      <c r="C36" s="14"/>
      <c r="D36" s="15"/>
      <c r="E36" s="15"/>
      <c r="F36" s="15"/>
      <c r="G36" s="15">
        <v>0</v>
      </c>
      <c r="H36" s="14"/>
    </row>
    <row r="37" spans="2:8" x14ac:dyDescent="0.25">
      <c r="B37" s="13"/>
      <c r="C37" s="14"/>
      <c r="D37" s="15"/>
      <c r="E37" s="15"/>
      <c r="F37" s="15"/>
      <c r="G37" s="15">
        <v>0</v>
      </c>
      <c r="H37" s="14"/>
    </row>
    <row r="38" spans="2:8" x14ac:dyDescent="0.25">
      <c r="B38" s="13"/>
      <c r="C38" s="14"/>
      <c r="D38" s="15"/>
      <c r="E38" s="15"/>
      <c r="F38" s="15"/>
      <c r="G38" s="15">
        <v>0</v>
      </c>
      <c r="H38" s="14"/>
    </row>
    <row r="39" spans="2:8" x14ac:dyDescent="0.25">
      <c r="B39" s="13"/>
      <c r="C39" s="14"/>
      <c r="D39" s="15"/>
      <c r="E39" s="15"/>
      <c r="F39" s="15"/>
      <c r="G39" s="15">
        <v>0</v>
      </c>
      <c r="H39" s="14"/>
    </row>
  </sheetData>
  <mergeCells count="5">
    <mergeCell ref="K10:L10"/>
    <mergeCell ref="B3:H3"/>
    <mergeCell ref="J1:L1"/>
    <mergeCell ref="J3:L3"/>
    <mergeCell ref="B1:H1"/>
  </mergeCells>
  <conditionalFormatting sqref="E12:E1048576 E1:E9">
    <cfRule type="containsText" dxfId="7" priority="1" operator="containsText" text="Em andamento">
      <formula>NOT(ISERROR(SEARCH("Em andamento",E1)))</formula>
    </cfRule>
    <cfRule type="cellIs" dxfId="6" priority="2" operator="equal">
      <formula>"Finalizada"</formula>
    </cfRule>
  </conditionalFormatting>
  <conditionalFormatting sqref="G1:G1048576">
    <cfRule type="dataBar" priority="14">
      <dataBar>
        <cfvo type="percent" val="0"/>
        <cfvo type="percent" val="100"/>
        <color theme="8" tint="0.39997558519241921"/>
      </dataBar>
      <extLst>
        <ext xmlns:x14="http://schemas.microsoft.com/office/spreadsheetml/2009/9/main" uri="{B025F937-C7B1-47D3-B67F-A62EFF666E3E}">
          <x14:id>{3756EDFC-E3A1-455F-8CDE-A6280FE14512}</x14:id>
        </ext>
      </extLst>
    </cfRule>
    <cfRule type="dataBar" priority="15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{2EE4A4D6-73E9-462B-BEB9-8659811F52CB}</x14:id>
        </ext>
      </extLst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{F3EB7945-224C-44C4-ADA9-822904211035}</x14:id>
        </ext>
      </extLst>
    </cfRule>
  </conditionalFormatting>
  <conditionalFormatting sqref="G5:G39">
    <cfRule type="dataBar" priority="26">
      <dataBar>
        <cfvo type="percent" val="0"/>
        <cfvo type="percent" val="100"/>
        <color theme="8" tint="0.59999389629810485"/>
      </dataBar>
      <extLst>
        <ext xmlns:x14="http://schemas.microsoft.com/office/spreadsheetml/2009/9/main" uri="{B025F937-C7B1-47D3-B67F-A62EFF666E3E}">
          <x14:id>{C09F63FA-8783-40AB-A6E3-87FAE86751F2}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56EDFC-E3A1-455F-8CDE-A6280FE14512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2EE4A4D6-73E9-462B-BEB9-8659811F52CB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F3EB7945-224C-44C4-ADA9-8229042110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C09F63FA-8783-40AB-A6E3-87FAE86751F2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G5:G39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2F75-EA4F-4CDF-B916-D61FB5178533}">
  <dimension ref="B1:U39"/>
  <sheetViews>
    <sheetView workbookViewId="0">
      <selection activeCell="C4" sqref="C4"/>
    </sheetView>
  </sheetViews>
  <sheetFormatPr defaultRowHeight="15" x14ac:dyDescent="0.25"/>
  <cols>
    <col min="1" max="1" width="2" customWidth="1"/>
    <col min="2" max="2" width="61.140625" style="2" customWidth="1"/>
    <col min="3" max="3" width="11.140625" style="1" customWidth="1"/>
    <col min="4" max="4" width="16" customWidth="1"/>
    <col min="5" max="5" width="15.7109375" customWidth="1"/>
    <col min="6" max="6" width="18.140625" customWidth="1"/>
    <col min="7" max="7" width="11" customWidth="1"/>
    <col min="8" max="8" width="11.85546875" customWidth="1"/>
    <col min="9" max="9" width="1.140625" customWidth="1"/>
    <col min="10" max="10" width="17.85546875" customWidth="1"/>
    <col min="11" max="11" width="14.140625" customWidth="1"/>
    <col min="12" max="12" width="13.42578125" customWidth="1"/>
    <col min="14" max="14" width="11.85546875" customWidth="1"/>
    <col min="20" max="20" width="11.42578125" customWidth="1"/>
    <col min="21" max="21" width="5.5703125" customWidth="1"/>
  </cols>
  <sheetData>
    <row r="1" spans="2:21" ht="28.5" customHeight="1" x14ac:dyDescent="0.25">
      <c r="B1" s="19" t="s">
        <v>27</v>
      </c>
      <c r="C1" s="19"/>
      <c r="D1" s="19"/>
      <c r="E1" s="19"/>
      <c r="F1" s="19"/>
      <c r="G1" s="19"/>
      <c r="H1" s="19"/>
      <c r="J1" s="19" t="s">
        <v>8</v>
      </c>
      <c r="K1" s="19"/>
      <c r="L1" s="19"/>
    </row>
    <row r="2" spans="2:21" ht="6" customHeight="1" x14ac:dyDescent="0.25"/>
    <row r="3" spans="2:21" ht="19.5" customHeight="1" x14ac:dyDescent="0.25">
      <c r="B3" s="18" t="s">
        <v>1</v>
      </c>
      <c r="C3" s="18"/>
      <c r="D3" s="18"/>
      <c r="E3" s="18"/>
      <c r="F3" s="18"/>
      <c r="G3" s="18"/>
      <c r="H3" s="18"/>
      <c r="J3" s="20"/>
      <c r="K3" s="20"/>
      <c r="L3" s="20"/>
    </row>
    <row r="4" spans="2:21" x14ac:dyDescent="0.25">
      <c r="B4" s="3" t="s">
        <v>2</v>
      </c>
      <c r="C4" s="4" t="s">
        <v>7</v>
      </c>
      <c r="D4" s="5" t="s">
        <v>3</v>
      </c>
      <c r="E4" s="5" t="s">
        <v>0</v>
      </c>
      <c r="F4" s="5" t="s">
        <v>4</v>
      </c>
      <c r="G4" s="5" t="s">
        <v>5</v>
      </c>
      <c r="H4" s="5" t="s">
        <v>6</v>
      </c>
      <c r="J4" s="6" t="s">
        <v>7</v>
      </c>
      <c r="K4" s="8" t="s">
        <v>11</v>
      </c>
      <c r="L4" s="7" t="s">
        <v>12</v>
      </c>
    </row>
    <row r="5" spans="2:21" x14ac:dyDescent="0.25">
      <c r="B5" s="13" t="s">
        <v>30</v>
      </c>
      <c r="C5" s="14">
        <v>1</v>
      </c>
      <c r="D5" s="15" t="s">
        <v>19</v>
      </c>
      <c r="E5" s="15" t="s">
        <v>20</v>
      </c>
      <c r="F5" s="15" t="s">
        <v>21</v>
      </c>
      <c r="G5" s="15">
        <v>100</v>
      </c>
      <c r="H5" s="14"/>
      <c r="J5" s="9" t="s">
        <v>13</v>
      </c>
      <c r="K5" s="9">
        <f>COUNTIF(C:C,0)</f>
        <v>5</v>
      </c>
      <c r="L5" s="9">
        <f>COUNTIFS($E:$E,"Finalizada",$C:$C,0)</f>
        <v>4</v>
      </c>
      <c r="T5" t="s">
        <v>17</v>
      </c>
      <c r="U5">
        <f>K9</f>
        <v>7</v>
      </c>
    </row>
    <row r="6" spans="2:21" x14ac:dyDescent="0.25">
      <c r="B6" s="13" t="s">
        <v>31</v>
      </c>
      <c r="C6" s="14">
        <v>1</v>
      </c>
      <c r="D6" s="15" t="s">
        <v>23</v>
      </c>
      <c r="E6" s="15" t="s">
        <v>20</v>
      </c>
      <c r="F6" s="15" t="s">
        <v>21</v>
      </c>
      <c r="G6" s="15">
        <v>100</v>
      </c>
      <c r="H6" s="14"/>
      <c r="J6" s="9" t="s">
        <v>14</v>
      </c>
      <c r="K6" s="9">
        <f>COUNTIF(C:C,1)</f>
        <v>2</v>
      </c>
      <c r="L6" s="9">
        <f>COUNTIFS($E:$E,"Finalizada",$C:$C,1)</f>
        <v>2</v>
      </c>
      <c r="T6" t="s">
        <v>12</v>
      </c>
      <c r="U6">
        <f>L9</f>
        <v>6</v>
      </c>
    </row>
    <row r="7" spans="2:21" x14ac:dyDescent="0.25">
      <c r="B7" s="13" t="s">
        <v>33</v>
      </c>
      <c r="C7" s="14">
        <v>0</v>
      </c>
      <c r="D7" s="15" t="s">
        <v>19</v>
      </c>
      <c r="E7" s="15" t="s">
        <v>20</v>
      </c>
      <c r="F7" s="15" t="s">
        <v>21</v>
      </c>
      <c r="G7" s="15">
        <v>100</v>
      </c>
      <c r="H7" s="14"/>
      <c r="J7" s="9" t="s">
        <v>15</v>
      </c>
      <c r="K7" s="9">
        <f>COUNTIF(C:C,2)</f>
        <v>0</v>
      </c>
      <c r="L7" s="9">
        <f>COUNTIFS($E:$E,"Finalizada",$C:$C,2)</f>
        <v>0</v>
      </c>
      <c r="T7" t="s">
        <v>17</v>
      </c>
      <c r="U7">
        <f>U5-U6</f>
        <v>1</v>
      </c>
    </row>
    <row r="8" spans="2:21" ht="15.75" customHeight="1" x14ac:dyDescent="0.25">
      <c r="B8" s="13" t="s">
        <v>34</v>
      </c>
      <c r="C8" s="14">
        <v>0</v>
      </c>
      <c r="D8" s="15" t="s">
        <v>19</v>
      </c>
      <c r="E8" s="15" t="s">
        <v>20</v>
      </c>
      <c r="F8" s="15" t="s">
        <v>21</v>
      </c>
      <c r="G8" s="15">
        <v>100</v>
      </c>
      <c r="H8" s="16"/>
      <c r="J8" s="9" t="s">
        <v>16</v>
      </c>
      <c r="K8" s="9">
        <f>COUNTIF(C:C,3)</f>
        <v>0</v>
      </c>
      <c r="L8" s="9">
        <f>COUNTIFS($E:$E,"Finalizada",$C:$C,3)</f>
        <v>0</v>
      </c>
    </row>
    <row r="9" spans="2:21" x14ac:dyDescent="0.25">
      <c r="B9" s="13" t="s">
        <v>35</v>
      </c>
      <c r="C9" s="14">
        <v>0</v>
      </c>
      <c r="D9" s="15" t="s">
        <v>19</v>
      </c>
      <c r="E9" s="15" t="s">
        <v>20</v>
      </c>
      <c r="F9" s="15" t="s">
        <v>21</v>
      </c>
      <c r="G9" s="15">
        <v>100</v>
      </c>
      <c r="H9" s="14"/>
      <c r="J9" s="10" t="s">
        <v>10</v>
      </c>
      <c r="K9" s="11">
        <f>SUM(K5:K8)</f>
        <v>7</v>
      </c>
      <c r="L9" s="11">
        <f>SUM(L5:L8)</f>
        <v>6</v>
      </c>
      <c r="T9" t="s">
        <v>9</v>
      </c>
      <c r="U9">
        <f>K5</f>
        <v>5</v>
      </c>
    </row>
    <row r="10" spans="2:21" x14ac:dyDescent="0.25">
      <c r="B10" s="13" t="s">
        <v>36</v>
      </c>
      <c r="C10" s="14">
        <v>0</v>
      </c>
      <c r="D10" s="15" t="s">
        <v>19</v>
      </c>
      <c r="E10" s="15" t="s">
        <v>20</v>
      </c>
      <c r="F10" s="15" t="s">
        <v>21</v>
      </c>
      <c r="G10" s="15">
        <v>100</v>
      </c>
      <c r="H10" s="14"/>
      <c r="J10" s="12"/>
      <c r="K10" s="17"/>
      <c r="L10" s="17"/>
      <c r="T10" t="s">
        <v>12</v>
      </c>
      <c r="U10">
        <f>L5</f>
        <v>4</v>
      </c>
    </row>
    <row r="11" spans="2:21" x14ac:dyDescent="0.25">
      <c r="B11" s="21" t="s">
        <v>37</v>
      </c>
      <c r="C11" s="22"/>
      <c r="D11" s="23"/>
      <c r="E11" s="23"/>
      <c r="F11" s="23"/>
      <c r="G11" s="23">
        <v>0</v>
      </c>
      <c r="H11" s="22"/>
      <c r="T11" t="s">
        <v>9</v>
      </c>
      <c r="U11">
        <f>U9-U10</f>
        <v>1</v>
      </c>
    </row>
    <row r="12" spans="2:21" x14ac:dyDescent="0.25">
      <c r="B12" s="13" t="s">
        <v>38</v>
      </c>
      <c r="C12" s="14">
        <v>0</v>
      </c>
      <c r="D12" s="15" t="s">
        <v>23</v>
      </c>
      <c r="E12" s="15" t="s">
        <v>39</v>
      </c>
      <c r="F12" s="15" t="s">
        <v>21</v>
      </c>
      <c r="G12" s="15">
        <v>0</v>
      </c>
      <c r="H12" s="14"/>
    </row>
    <row r="13" spans="2:21" x14ac:dyDescent="0.25">
      <c r="B13" s="13"/>
      <c r="C13" s="14"/>
      <c r="D13" s="15"/>
      <c r="E13" s="15"/>
      <c r="F13" s="15"/>
      <c r="G13" s="15">
        <v>0</v>
      </c>
      <c r="H13" s="14"/>
    </row>
    <row r="14" spans="2:21" x14ac:dyDescent="0.25">
      <c r="B14" s="13"/>
      <c r="C14" s="14"/>
      <c r="D14" s="15"/>
      <c r="E14" s="15"/>
      <c r="F14" s="15"/>
      <c r="G14" s="15">
        <v>0</v>
      </c>
      <c r="H14" s="14"/>
    </row>
    <row r="15" spans="2:21" x14ac:dyDescent="0.25">
      <c r="B15" s="13"/>
      <c r="C15" s="14"/>
      <c r="D15" s="15"/>
      <c r="E15" s="15"/>
      <c r="F15" s="15"/>
      <c r="G15" s="15">
        <v>0</v>
      </c>
      <c r="H15" s="14"/>
    </row>
    <row r="16" spans="2:21" x14ac:dyDescent="0.25">
      <c r="B16" s="13"/>
      <c r="C16" s="14"/>
      <c r="D16" s="15"/>
      <c r="E16" s="15"/>
      <c r="F16" s="15"/>
      <c r="G16" s="15">
        <v>0</v>
      </c>
      <c r="H16" s="14"/>
    </row>
    <row r="17" spans="2:8" x14ac:dyDescent="0.25">
      <c r="B17" s="13"/>
      <c r="C17" s="14"/>
      <c r="D17" s="15"/>
      <c r="E17" s="15"/>
      <c r="F17" s="15"/>
      <c r="G17" s="15">
        <v>0</v>
      </c>
      <c r="H17" s="14"/>
    </row>
    <row r="18" spans="2:8" x14ac:dyDescent="0.25">
      <c r="B18" s="13"/>
      <c r="C18" s="14"/>
      <c r="D18" s="15"/>
      <c r="E18" s="15"/>
      <c r="F18" s="15"/>
      <c r="G18" s="15">
        <v>0</v>
      </c>
      <c r="H18" s="14"/>
    </row>
    <row r="19" spans="2:8" x14ac:dyDescent="0.25">
      <c r="B19" s="13"/>
      <c r="C19" s="14"/>
      <c r="D19" s="15"/>
      <c r="E19" s="15"/>
      <c r="F19" s="15"/>
      <c r="G19" s="15">
        <v>0</v>
      </c>
      <c r="H19" s="14"/>
    </row>
    <row r="20" spans="2:8" x14ac:dyDescent="0.25">
      <c r="B20" s="13"/>
      <c r="C20" s="14"/>
      <c r="D20" s="15"/>
      <c r="E20" s="15"/>
      <c r="F20" s="15"/>
      <c r="G20" s="15">
        <v>0</v>
      </c>
      <c r="H20" s="14"/>
    </row>
    <row r="21" spans="2:8" x14ac:dyDescent="0.25">
      <c r="B21" s="13"/>
      <c r="C21" s="14"/>
      <c r="D21" s="15"/>
      <c r="E21" s="15"/>
      <c r="F21" s="15"/>
      <c r="G21" s="15">
        <v>0</v>
      </c>
      <c r="H21" s="14"/>
    </row>
    <row r="22" spans="2:8" x14ac:dyDescent="0.25">
      <c r="B22" s="13"/>
      <c r="C22" s="14"/>
      <c r="D22" s="15"/>
      <c r="E22" s="15"/>
      <c r="F22" s="15"/>
      <c r="G22" s="15">
        <v>0</v>
      </c>
      <c r="H22" s="14"/>
    </row>
    <row r="23" spans="2:8" x14ac:dyDescent="0.25">
      <c r="B23" s="13"/>
      <c r="C23" s="14"/>
      <c r="D23" s="15"/>
      <c r="E23" s="15"/>
      <c r="F23" s="15"/>
      <c r="G23" s="15">
        <v>0</v>
      </c>
      <c r="H23" s="14"/>
    </row>
    <row r="24" spans="2:8" x14ac:dyDescent="0.25">
      <c r="B24" s="13"/>
      <c r="C24" s="14"/>
      <c r="D24" s="15"/>
      <c r="E24" s="15"/>
      <c r="F24" s="15"/>
      <c r="G24" s="15">
        <v>0</v>
      </c>
      <c r="H24" s="14"/>
    </row>
    <row r="25" spans="2:8" x14ac:dyDescent="0.25">
      <c r="B25" s="13"/>
      <c r="C25" s="14"/>
      <c r="D25" s="15"/>
      <c r="E25" s="15"/>
      <c r="F25" s="15"/>
      <c r="G25" s="15">
        <v>0</v>
      </c>
      <c r="H25" s="14"/>
    </row>
    <row r="26" spans="2:8" x14ac:dyDescent="0.25">
      <c r="B26" s="13"/>
      <c r="C26" s="14"/>
      <c r="D26" s="15"/>
      <c r="E26" s="15"/>
      <c r="F26" s="15"/>
      <c r="G26" s="15">
        <v>0</v>
      </c>
      <c r="H26" s="14"/>
    </row>
    <row r="27" spans="2:8" x14ac:dyDescent="0.25">
      <c r="B27" s="13"/>
      <c r="C27" s="14"/>
      <c r="D27" s="15"/>
      <c r="E27" s="15"/>
      <c r="F27" s="15"/>
      <c r="G27" s="15">
        <v>0</v>
      </c>
      <c r="H27" s="14"/>
    </row>
    <row r="28" spans="2:8" x14ac:dyDescent="0.25">
      <c r="B28" s="13"/>
      <c r="C28" s="14"/>
      <c r="D28" s="15"/>
      <c r="E28" s="15"/>
      <c r="F28" s="15"/>
      <c r="G28" s="15">
        <v>0</v>
      </c>
      <c r="H28" s="14"/>
    </row>
    <row r="29" spans="2:8" x14ac:dyDescent="0.25">
      <c r="B29" s="13"/>
      <c r="C29" s="14"/>
      <c r="D29" s="15"/>
      <c r="E29" s="15"/>
      <c r="F29" s="15"/>
      <c r="G29" s="15">
        <v>0</v>
      </c>
      <c r="H29" s="14"/>
    </row>
    <row r="30" spans="2:8" x14ac:dyDescent="0.25">
      <c r="B30" s="13"/>
      <c r="C30" s="14"/>
      <c r="D30" s="15"/>
      <c r="E30" s="15"/>
      <c r="F30" s="15"/>
      <c r="G30" s="15">
        <v>0</v>
      </c>
      <c r="H30" s="14"/>
    </row>
    <row r="31" spans="2:8" x14ac:dyDescent="0.25">
      <c r="B31" s="13"/>
      <c r="C31" s="14"/>
      <c r="D31" s="15"/>
      <c r="E31" s="15"/>
      <c r="F31" s="15"/>
      <c r="G31" s="15">
        <v>0</v>
      </c>
      <c r="H31" s="14"/>
    </row>
    <row r="32" spans="2:8" x14ac:dyDescent="0.25">
      <c r="B32" s="13"/>
      <c r="C32" s="14"/>
      <c r="D32" s="15"/>
      <c r="E32" s="15"/>
      <c r="F32" s="15"/>
      <c r="G32" s="15">
        <v>0</v>
      </c>
      <c r="H32" s="14"/>
    </row>
    <row r="33" spans="2:8" x14ac:dyDescent="0.25">
      <c r="B33" s="13"/>
      <c r="C33" s="14"/>
      <c r="D33" s="15"/>
      <c r="E33" s="15"/>
      <c r="F33" s="15"/>
      <c r="G33" s="15">
        <v>0</v>
      </c>
      <c r="H33" s="14"/>
    </row>
    <row r="34" spans="2:8" x14ac:dyDescent="0.25">
      <c r="B34" s="13"/>
      <c r="C34" s="14"/>
      <c r="D34" s="15"/>
      <c r="E34" s="15"/>
      <c r="F34" s="15"/>
      <c r="G34" s="15">
        <v>0</v>
      </c>
      <c r="H34" s="14"/>
    </row>
    <row r="35" spans="2:8" x14ac:dyDescent="0.25">
      <c r="B35" s="13"/>
      <c r="C35" s="14"/>
      <c r="D35" s="15"/>
      <c r="E35" s="15"/>
      <c r="F35" s="15"/>
      <c r="G35" s="15">
        <v>0</v>
      </c>
      <c r="H35" s="14"/>
    </row>
    <row r="36" spans="2:8" x14ac:dyDescent="0.25">
      <c r="B36" s="13"/>
      <c r="C36" s="14"/>
      <c r="D36" s="15"/>
      <c r="E36" s="15"/>
      <c r="F36" s="15"/>
      <c r="G36" s="15">
        <v>0</v>
      </c>
      <c r="H36" s="14"/>
    </row>
    <row r="37" spans="2:8" x14ac:dyDescent="0.25">
      <c r="B37" s="13"/>
      <c r="C37" s="14"/>
      <c r="D37" s="15"/>
      <c r="E37" s="15"/>
      <c r="F37" s="15"/>
      <c r="G37" s="15">
        <v>0</v>
      </c>
      <c r="H37" s="14"/>
    </row>
    <row r="38" spans="2:8" x14ac:dyDescent="0.25">
      <c r="B38" s="13"/>
      <c r="C38" s="14"/>
      <c r="D38" s="15"/>
      <c r="E38" s="15"/>
      <c r="F38" s="15"/>
      <c r="G38" s="15">
        <v>0</v>
      </c>
      <c r="H38" s="14"/>
    </row>
    <row r="39" spans="2:8" x14ac:dyDescent="0.25">
      <c r="B39" s="13"/>
      <c r="C39" s="14"/>
      <c r="D39" s="15"/>
      <c r="E39" s="15"/>
      <c r="F39" s="15"/>
      <c r="G39" s="15">
        <v>0</v>
      </c>
      <c r="H39" s="14"/>
    </row>
  </sheetData>
  <mergeCells count="5">
    <mergeCell ref="B1:H1"/>
    <mergeCell ref="J1:L1"/>
    <mergeCell ref="B3:H3"/>
    <mergeCell ref="J3:L3"/>
    <mergeCell ref="K10:L10"/>
  </mergeCells>
  <conditionalFormatting sqref="E1:E1048576">
    <cfRule type="containsText" dxfId="5" priority="1" operator="containsText" text="Em andamento">
      <formula>NOT(ISERROR(SEARCH("Em andamento",E1)))</formula>
    </cfRule>
    <cfRule type="cellIs" dxfId="4" priority="2" operator="equal">
      <formula>"Finalizada"</formula>
    </cfRule>
  </conditionalFormatting>
  <conditionalFormatting sqref="G1:G1048576">
    <cfRule type="dataBar" priority="3">
      <dataBar>
        <cfvo type="percent" val="0"/>
        <cfvo type="percent" val="100"/>
        <color theme="8" tint="0.39997558519241921"/>
      </dataBar>
      <extLst>
        <ext xmlns:x14="http://schemas.microsoft.com/office/spreadsheetml/2009/9/main" uri="{B025F937-C7B1-47D3-B67F-A62EFF666E3E}">
          <x14:id>{3F592F94-15C1-426C-BB9E-A8FF2B686DBF}</x14:id>
        </ext>
      </extLst>
    </cfRule>
    <cfRule type="dataBar" priority="4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{E5D7D30B-1B38-4599-9FD3-E761455D8DC7}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{5A18E442-D2AA-4F27-839E-4D8257428CCE}</x14:id>
        </ext>
      </extLst>
    </cfRule>
  </conditionalFormatting>
  <conditionalFormatting sqref="G5:G39">
    <cfRule type="dataBar" priority="6">
      <dataBar>
        <cfvo type="percent" val="0"/>
        <cfvo type="percent" val="100"/>
        <color theme="8" tint="0.59999389629810485"/>
      </dataBar>
      <extLst>
        <ext xmlns:x14="http://schemas.microsoft.com/office/spreadsheetml/2009/9/main" uri="{B025F937-C7B1-47D3-B67F-A62EFF666E3E}">
          <x14:id>{2C5F7E51-600D-4C3D-8D85-63E85B0370B0}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592F94-15C1-426C-BB9E-A8FF2B686DBF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E5D7D30B-1B38-4599-9FD3-E761455D8DC7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5A18E442-D2AA-4F27-839E-4D8257428C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2C5F7E51-600D-4C3D-8D85-63E85B0370B0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G5:G39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AF22-0926-426C-BB9A-30D5AC200B46}">
  <dimension ref="B1:U39"/>
  <sheetViews>
    <sheetView workbookViewId="0">
      <selection activeCell="G7" sqref="G7"/>
    </sheetView>
  </sheetViews>
  <sheetFormatPr defaultRowHeight="15" x14ac:dyDescent="0.25"/>
  <cols>
    <col min="1" max="1" width="2" customWidth="1"/>
    <col min="2" max="2" width="61.140625" style="2" customWidth="1"/>
    <col min="3" max="3" width="11.140625" style="1" customWidth="1"/>
    <col min="4" max="4" width="16" customWidth="1"/>
    <col min="5" max="5" width="15.7109375" customWidth="1"/>
    <col min="6" max="6" width="18.140625" customWidth="1"/>
    <col min="7" max="7" width="11" customWidth="1"/>
    <col min="8" max="8" width="11.85546875" customWidth="1"/>
    <col min="9" max="9" width="1.140625" customWidth="1"/>
    <col min="10" max="10" width="17.85546875" customWidth="1"/>
    <col min="11" max="11" width="14.140625" customWidth="1"/>
    <col min="12" max="12" width="13.42578125" customWidth="1"/>
    <col min="14" max="14" width="11.85546875" customWidth="1"/>
    <col min="20" max="20" width="11.42578125" customWidth="1"/>
    <col min="21" max="21" width="5.5703125" customWidth="1"/>
  </cols>
  <sheetData>
    <row r="1" spans="2:21" ht="28.5" customHeight="1" x14ac:dyDescent="0.25">
      <c r="B1" s="19" t="s">
        <v>29</v>
      </c>
      <c r="C1" s="19"/>
      <c r="D1" s="19"/>
      <c r="E1" s="19"/>
      <c r="F1" s="19"/>
      <c r="G1" s="19"/>
      <c r="H1" s="19"/>
      <c r="J1" s="19" t="s">
        <v>8</v>
      </c>
      <c r="K1" s="19"/>
      <c r="L1" s="19"/>
    </row>
    <row r="2" spans="2:21" ht="6" customHeight="1" x14ac:dyDescent="0.25"/>
    <row r="3" spans="2:21" ht="19.5" customHeight="1" x14ac:dyDescent="0.25">
      <c r="B3" s="18" t="s">
        <v>1</v>
      </c>
      <c r="C3" s="18"/>
      <c r="D3" s="18"/>
      <c r="E3" s="18"/>
      <c r="F3" s="18"/>
      <c r="G3" s="18"/>
      <c r="H3" s="18"/>
      <c r="J3" s="20"/>
      <c r="K3" s="20"/>
      <c r="L3" s="20"/>
    </row>
    <row r="4" spans="2:21" x14ac:dyDescent="0.25">
      <c r="B4" s="3" t="s">
        <v>2</v>
      </c>
      <c r="C4" s="4" t="s">
        <v>7</v>
      </c>
      <c r="D4" s="5" t="s">
        <v>3</v>
      </c>
      <c r="E4" s="5" t="s">
        <v>0</v>
      </c>
      <c r="F4" s="5" t="s">
        <v>4</v>
      </c>
      <c r="G4" s="5" t="s">
        <v>5</v>
      </c>
      <c r="H4" s="5" t="s">
        <v>6</v>
      </c>
      <c r="J4" s="6" t="s">
        <v>7</v>
      </c>
      <c r="K4" s="8" t="s">
        <v>11</v>
      </c>
      <c r="L4" s="7" t="s">
        <v>12</v>
      </c>
    </row>
    <row r="5" spans="2:21" x14ac:dyDescent="0.25">
      <c r="B5" s="13" t="s">
        <v>32</v>
      </c>
      <c r="C5" s="14">
        <v>0</v>
      </c>
      <c r="D5" s="15" t="s">
        <v>23</v>
      </c>
      <c r="E5" s="15" t="s">
        <v>20</v>
      </c>
      <c r="F5" s="15" t="s">
        <v>21</v>
      </c>
      <c r="G5" s="15">
        <v>100</v>
      </c>
      <c r="H5" s="14"/>
      <c r="J5" s="9" t="s">
        <v>13</v>
      </c>
      <c r="K5" s="9">
        <f>COUNTIF(C:C,0)</f>
        <v>2</v>
      </c>
      <c r="L5" s="9">
        <f>COUNTIFS($E:$E,"Finalizada",$C:$C,0)</f>
        <v>1</v>
      </c>
      <c r="T5" t="s">
        <v>17</v>
      </c>
      <c r="U5">
        <f>K9</f>
        <v>2</v>
      </c>
    </row>
    <row r="6" spans="2:21" x14ac:dyDescent="0.25">
      <c r="B6" s="24" t="s">
        <v>37</v>
      </c>
      <c r="C6" s="22"/>
      <c r="D6" s="23"/>
      <c r="E6" s="23"/>
      <c r="F6" s="23"/>
      <c r="G6" s="23">
        <v>0</v>
      </c>
      <c r="H6" s="22"/>
      <c r="J6" s="9" t="s">
        <v>14</v>
      </c>
      <c r="K6" s="9">
        <f>COUNTIF(C:C,1)</f>
        <v>0</v>
      </c>
      <c r="L6" s="9">
        <f>COUNTIFS($E:$E,"Finalizada",$C:$C,1)</f>
        <v>0</v>
      </c>
      <c r="T6" t="s">
        <v>12</v>
      </c>
      <c r="U6">
        <f>L9</f>
        <v>1</v>
      </c>
    </row>
    <row r="7" spans="2:21" x14ac:dyDescent="0.25">
      <c r="B7" s="13" t="s">
        <v>40</v>
      </c>
      <c r="C7" s="14">
        <v>0</v>
      </c>
      <c r="D7" s="15" t="s">
        <v>19</v>
      </c>
      <c r="E7" s="15" t="s">
        <v>39</v>
      </c>
      <c r="F7" s="15" t="s">
        <v>21</v>
      </c>
      <c r="G7" s="15">
        <v>0</v>
      </c>
      <c r="H7" s="14"/>
      <c r="J7" s="9" t="s">
        <v>15</v>
      </c>
      <c r="K7" s="9">
        <f>COUNTIF(C:C,2)</f>
        <v>0</v>
      </c>
      <c r="L7" s="9">
        <f>COUNTIFS($E:$E,"Finalizada",$C:$C,2)</f>
        <v>0</v>
      </c>
      <c r="T7" t="s">
        <v>17</v>
      </c>
      <c r="U7">
        <f>U5-U6</f>
        <v>1</v>
      </c>
    </row>
    <row r="8" spans="2:21" ht="15.75" customHeight="1" x14ac:dyDescent="0.25">
      <c r="B8" s="13"/>
      <c r="C8" s="14"/>
      <c r="D8" s="15"/>
      <c r="E8" s="15"/>
      <c r="F8" s="15"/>
      <c r="G8" s="15">
        <v>0</v>
      </c>
      <c r="H8" s="16"/>
      <c r="J8" s="9" t="s">
        <v>16</v>
      </c>
      <c r="K8" s="9">
        <f>COUNTIF(C:C,3)</f>
        <v>0</v>
      </c>
      <c r="L8" s="9">
        <f>COUNTIFS($E:$E,"Finalizada",$C:$C,3)</f>
        <v>0</v>
      </c>
    </row>
    <row r="9" spans="2:21" x14ac:dyDescent="0.25">
      <c r="B9" s="13"/>
      <c r="C9" s="14"/>
      <c r="D9" s="15"/>
      <c r="E9" s="15"/>
      <c r="F9" s="15"/>
      <c r="G9" s="15">
        <v>0</v>
      </c>
      <c r="H9" s="14"/>
      <c r="J9" s="10" t="s">
        <v>10</v>
      </c>
      <c r="K9" s="11">
        <f>SUM(K5:K8)</f>
        <v>2</v>
      </c>
      <c r="L9" s="11">
        <f>SUM(L5:L8)</f>
        <v>1</v>
      </c>
      <c r="T9" t="s">
        <v>9</v>
      </c>
      <c r="U9">
        <f>K5</f>
        <v>2</v>
      </c>
    </row>
    <row r="10" spans="2:21" x14ac:dyDescent="0.25">
      <c r="B10" s="13"/>
      <c r="C10" s="14"/>
      <c r="D10" s="15"/>
      <c r="E10" s="15"/>
      <c r="F10" s="15"/>
      <c r="G10" s="15">
        <v>0</v>
      </c>
      <c r="H10" s="14"/>
      <c r="J10" s="12"/>
      <c r="K10" s="17"/>
      <c r="L10" s="17"/>
      <c r="T10" t="s">
        <v>12</v>
      </c>
      <c r="U10">
        <f>L5</f>
        <v>1</v>
      </c>
    </row>
    <row r="11" spans="2:21" x14ac:dyDescent="0.25">
      <c r="B11" s="13"/>
      <c r="C11" s="14"/>
      <c r="D11" s="15"/>
      <c r="E11" s="15"/>
      <c r="F11" s="15"/>
      <c r="G11" s="15">
        <v>0</v>
      </c>
      <c r="H11" s="14"/>
      <c r="T11" t="s">
        <v>9</v>
      </c>
      <c r="U11">
        <f>U9-U10</f>
        <v>1</v>
      </c>
    </row>
    <row r="12" spans="2:21" x14ac:dyDescent="0.25">
      <c r="B12" s="13"/>
      <c r="C12" s="14"/>
      <c r="D12" s="15"/>
      <c r="E12" s="15"/>
      <c r="F12" s="15"/>
      <c r="G12" s="15">
        <v>0</v>
      </c>
      <c r="H12" s="14"/>
    </row>
    <row r="13" spans="2:21" x14ac:dyDescent="0.25">
      <c r="B13" s="13"/>
      <c r="C13" s="14"/>
      <c r="D13" s="15"/>
      <c r="E13" s="15"/>
      <c r="F13" s="15"/>
      <c r="G13" s="15">
        <v>0</v>
      </c>
      <c r="H13" s="14"/>
    </row>
    <row r="14" spans="2:21" x14ac:dyDescent="0.25">
      <c r="B14" s="13"/>
      <c r="C14" s="14"/>
      <c r="D14" s="15"/>
      <c r="E14" s="15"/>
      <c r="F14" s="15"/>
      <c r="G14" s="15">
        <v>0</v>
      </c>
      <c r="H14" s="14"/>
    </row>
    <row r="15" spans="2:21" x14ac:dyDescent="0.25">
      <c r="B15" s="13"/>
      <c r="C15" s="14"/>
      <c r="D15" s="15"/>
      <c r="E15" s="15"/>
      <c r="F15" s="15"/>
      <c r="G15" s="15">
        <v>0</v>
      </c>
      <c r="H15" s="14"/>
    </row>
    <row r="16" spans="2:21" x14ac:dyDescent="0.25">
      <c r="B16" s="13"/>
      <c r="C16" s="14"/>
      <c r="D16" s="15"/>
      <c r="E16" s="15"/>
      <c r="F16" s="15"/>
      <c r="G16" s="15">
        <v>0</v>
      </c>
      <c r="H16" s="14"/>
    </row>
    <row r="17" spans="2:8" x14ac:dyDescent="0.25">
      <c r="B17" s="13"/>
      <c r="C17" s="14"/>
      <c r="D17" s="15"/>
      <c r="E17" s="15"/>
      <c r="F17" s="15"/>
      <c r="G17" s="15">
        <v>0</v>
      </c>
      <c r="H17" s="14"/>
    </row>
    <row r="18" spans="2:8" x14ac:dyDescent="0.25">
      <c r="B18" s="13"/>
      <c r="C18" s="14"/>
      <c r="D18" s="15"/>
      <c r="E18" s="15"/>
      <c r="F18" s="15"/>
      <c r="G18" s="15">
        <v>0</v>
      </c>
      <c r="H18" s="14"/>
    </row>
    <row r="19" spans="2:8" x14ac:dyDescent="0.25">
      <c r="B19" s="13"/>
      <c r="C19" s="14"/>
      <c r="D19" s="15"/>
      <c r="E19" s="15"/>
      <c r="F19" s="15"/>
      <c r="G19" s="15">
        <v>0</v>
      </c>
      <c r="H19" s="14"/>
    </row>
    <row r="20" spans="2:8" x14ac:dyDescent="0.25">
      <c r="B20" s="13"/>
      <c r="C20" s="14"/>
      <c r="D20" s="15"/>
      <c r="E20" s="15"/>
      <c r="F20" s="15"/>
      <c r="G20" s="15">
        <v>0</v>
      </c>
      <c r="H20" s="14"/>
    </row>
    <row r="21" spans="2:8" x14ac:dyDescent="0.25">
      <c r="B21" s="13"/>
      <c r="C21" s="14"/>
      <c r="D21" s="15"/>
      <c r="E21" s="15"/>
      <c r="F21" s="15"/>
      <c r="G21" s="15">
        <v>0</v>
      </c>
      <c r="H21" s="14"/>
    </row>
    <row r="22" spans="2:8" x14ac:dyDescent="0.25">
      <c r="B22" s="13"/>
      <c r="C22" s="14"/>
      <c r="D22" s="15"/>
      <c r="E22" s="15"/>
      <c r="F22" s="15"/>
      <c r="G22" s="15">
        <v>0</v>
      </c>
      <c r="H22" s="14"/>
    </row>
    <row r="23" spans="2:8" x14ac:dyDescent="0.25">
      <c r="B23" s="13"/>
      <c r="C23" s="14"/>
      <c r="D23" s="15"/>
      <c r="E23" s="15"/>
      <c r="F23" s="15"/>
      <c r="G23" s="15">
        <v>0</v>
      </c>
      <c r="H23" s="14"/>
    </row>
    <row r="24" spans="2:8" x14ac:dyDescent="0.25">
      <c r="B24" s="13"/>
      <c r="C24" s="14"/>
      <c r="D24" s="15"/>
      <c r="E24" s="15"/>
      <c r="F24" s="15"/>
      <c r="G24" s="15">
        <v>0</v>
      </c>
      <c r="H24" s="14"/>
    </row>
    <row r="25" spans="2:8" x14ac:dyDescent="0.25">
      <c r="B25" s="13"/>
      <c r="C25" s="14"/>
      <c r="D25" s="15"/>
      <c r="E25" s="15"/>
      <c r="F25" s="15"/>
      <c r="G25" s="15">
        <v>0</v>
      </c>
      <c r="H25" s="14"/>
    </row>
    <row r="26" spans="2:8" x14ac:dyDescent="0.25">
      <c r="B26" s="13"/>
      <c r="C26" s="14"/>
      <c r="D26" s="15"/>
      <c r="E26" s="15"/>
      <c r="F26" s="15"/>
      <c r="G26" s="15">
        <v>0</v>
      </c>
      <c r="H26" s="14"/>
    </row>
    <row r="27" spans="2:8" x14ac:dyDescent="0.25">
      <c r="B27" s="13"/>
      <c r="C27" s="14"/>
      <c r="D27" s="15"/>
      <c r="E27" s="15"/>
      <c r="F27" s="15"/>
      <c r="G27" s="15">
        <v>0</v>
      </c>
      <c r="H27" s="14"/>
    </row>
    <row r="28" spans="2:8" x14ac:dyDescent="0.25">
      <c r="B28" s="13"/>
      <c r="C28" s="14"/>
      <c r="D28" s="15"/>
      <c r="E28" s="15"/>
      <c r="F28" s="15"/>
      <c r="G28" s="15">
        <v>0</v>
      </c>
      <c r="H28" s="14"/>
    </row>
    <row r="29" spans="2:8" x14ac:dyDescent="0.25">
      <c r="B29" s="13"/>
      <c r="C29" s="14"/>
      <c r="D29" s="15"/>
      <c r="E29" s="15"/>
      <c r="F29" s="15"/>
      <c r="G29" s="15">
        <v>0</v>
      </c>
      <c r="H29" s="14"/>
    </row>
    <row r="30" spans="2:8" x14ac:dyDescent="0.25">
      <c r="B30" s="13"/>
      <c r="C30" s="14"/>
      <c r="D30" s="15"/>
      <c r="E30" s="15"/>
      <c r="F30" s="15"/>
      <c r="G30" s="15">
        <v>0</v>
      </c>
      <c r="H30" s="14"/>
    </row>
    <row r="31" spans="2:8" x14ac:dyDescent="0.25">
      <c r="B31" s="13"/>
      <c r="C31" s="14"/>
      <c r="D31" s="15"/>
      <c r="E31" s="15"/>
      <c r="F31" s="15"/>
      <c r="G31" s="15">
        <v>0</v>
      </c>
      <c r="H31" s="14"/>
    </row>
    <row r="32" spans="2:8" x14ac:dyDescent="0.25">
      <c r="B32" s="13"/>
      <c r="C32" s="14"/>
      <c r="D32" s="15"/>
      <c r="E32" s="15"/>
      <c r="F32" s="15"/>
      <c r="G32" s="15">
        <v>0</v>
      </c>
      <c r="H32" s="14"/>
    </row>
    <row r="33" spans="2:8" x14ac:dyDescent="0.25">
      <c r="B33" s="13"/>
      <c r="C33" s="14"/>
      <c r="D33" s="15"/>
      <c r="E33" s="15"/>
      <c r="F33" s="15"/>
      <c r="G33" s="15">
        <v>0</v>
      </c>
      <c r="H33" s="14"/>
    </row>
    <row r="34" spans="2:8" x14ac:dyDescent="0.25">
      <c r="B34" s="13"/>
      <c r="C34" s="14"/>
      <c r="D34" s="15"/>
      <c r="E34" s="15"/>
      <c r="F34" s="15"/>
      <c r="G34" s="15">
        <v>0</v>
      </c>
      <c r="H34" s="14"/>
    </row>
    <row r="35" spans="2:8" x14ac:dyDescent="0.25">
      <c r="B35" s="13"/>
      <c r="C35" s="14"/>
      <c r="D35" s="15"/>
      <c r="E35" s="15"/>
      <c r="F35" s="15"/>
      <c r="G35" s="15">
        <v>0</v>
      </c>
      <c r="H35" s="14"/>
    </row>
    <row r="36" spans="2:8" x14ac:dyDescent="0.25">
      <c r="B36" s="13"/>
      <c r="C36" s="14"/>
      <c r="D36" s="15"/>
      <c r="E36" s="15"/>
      <c r="F36" s="15"/>
      <c r="G36" s="15">
        <v>0</v>
      </c>
      <c r="H36" s="14"/>
    </row>
    <row r="37" spans="2:8" x14ac:dyDescent="0.25">
      <c r="B37" s="13"/>
      <c r="C37" s="14"/>
      <c r="D37" s="15"/>
      <c r="E37" s="15"/>
      <c r="F37" s="15"/>
      <c r="G37" s="15">
        <v>0</v>
      </c>
      <c r="H37" s="14"/>
    </row>
    <row r="38" spans="2:8" x14ac:dyDescent="0.25">
      <c r="B38" s="13"/>
      <c r="C38" s="14"/>
      <c r="D38" s="15"/>
      <c r="E38" s="15"/>
      <c r="F38" s="15"/>
      <c r="G38" s="15">
        <v>0</v>
      </c>
      <c r="H38" s="14"/>
    </row>
    <row r="39" spans="2:8" x14ac:dyDescent="0.25">
      <c r="B39" s="13"/>
      <c r="C39" s="14"/>
      <c r="D39" s="15"/>
      <c r="E39" s="15"/>
      <c r="F39" s="15"/>
      <c r="G39" s="15">
        <v>0</v>
      </c>
      <c r="H39" s="14"/>
    </row>
  </sheetData>
  <mergeCells count="5">
    <mergeCell ref="B1:H1"/>
    <mergeCell ref="J1:L1"/>
    <mergeCell ref="B3:H3"/>
    <mergeCell ref="J3:L3"/>
    <mergeCell ref="K10:L10"/>
  </mergeCells>
  <conditionalFormatting sqref="E1:E1048576">
    <cfRule type="containsText" dxfId="3" priority="1" operator="containsText" text="Em andamento">
      <formula>NOT(ISERROR(SEARCH("Em andamento",E1)))</formula>
    </cfRule>
    <cfRule type="cellIs" dxfId="2" priority="2" operator="equal">
      <formula>"Finalizada"</formula>
    </cfRule>
  </conditionalFormatting>
  <conditionalFormatting sqref="G1:G1048576">
    <cfRule type="dataBar" priority="3">
      <dataBar>
        <cfvo type="percent" val="0"/>
        <cfvo type="percent" val="100"/>
        <color theme="8" tint="0.39997558519241921"/>
      </dataBar>
      <extLst>
        <ext xmlns:x14="http://schemas.microsoft.com/office/spreadsheetml/2009/9/main" uri="{B025F937-C7B1-47D3-B67F-A62EFF666E3E}">
          <x14:id>{099BFE6B-3BCE-4AF7-86D1-983DE58DD05E}</x14:id>
        </ext>
      </extLst>
    </cfRule>
    <cfRule type="dataBar" priority="4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{A2A6EE36-DDF7-4896-929A-478454B8E137}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{616E2310-6FCD-478B-8C1F-2B5B22E5FA8B}</x14:id>
        </ext>
      </extLst>
    </cfRule>
  </conditionalFormatting>
  <conditionalFormatting sqref="G5:G39">
    <cfRule type="dataBar" priority="6">
      <dataBar>
        <cfvo type="percent" val="0"/>
        <cfvo type="percent" val="100"/>
        <color theme="8" tint="0.59999389629810485"/>
      </dataBar>
      <extLst>
        <ext xmlns:x14="http://schemas.microsoft.com/office/spreadsheetml/2009/9/main" uri="{B025F937-C7B1-47D3-B67F-A62EFF666E3E}">
          <x14:id>{547FBCB5-F7E7-4885-A030-B37F3AA57B31}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9BFE6B-3BCE-4AF7-86D1-983DE58DD05E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A2A6EE36-DDF7-4896-929A-478454B8E137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616E2310-6FCD-478B-8C1F-2B5B22E5FA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547FBCB5-F7E7-4885-A030-B37F3AA57B31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G5:G39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0CF4-F513-49CF-93E7-214C7539DEBA}">
  <dimension ref="B1:U39"/>
  <sheetViews>
    <sheetView tabSelected="1" workbookViewId="0">
      <selection activeCell="C12" sqref="C12"/>
    </sheetView>
  </sheetViews>
  <sheetFormatPr defaultRowHeight="15" x14ac:dyDescent="0.25"/>
  <cols>
    <col min="1" max="1" width="2" customWidth="1"/>
    <col min="2" max="2" width="61.140625" style="2" customWidth="1"/>
    <col min="3" max="3" width="11.140625" style="1" customWidth="1"/>
    <col min="4" max="4" width="16" customWidth="1"/>
    <col min="5" max="5" width="15.7109375" customWidth="1"/>
    <col min="6" max="6" width="18.140625" customWidth="1"/>
    <col min="7" max="7" width="11" customWidth="1"/>
    <col min="8" max="8" width="11.85546875" customWidth="1"/>
    <col min="9" max="9" width="1.140625" customWidth="1"/>
    <col min="10" max="10" width="17.85546875" customWidth="1"/>
    <col min="11" max="11" width="14.140625" customWidth="1"/>
    <col min="12" max="12" width="13.42578125" customWidth="1"/>
    <col min="14" max="14" width="11.85546875" customWidth="1"/>
    <col min="20" max="20" width="11.42578125" customWidth="1"/>
    <col min="21" max="21" width="5.5703125" customWidth="1"/>
  </cols>
  <sheetData>
    <row r="1" spans="2:21" ht="28.5" customHeight="1" x14ac:dyDescent="0.25">
      <c r="B1" s="19" t="s">
        <v>28</v>
      </c>
      <c r="C1" s="19"/>
      <c r="D1" s="19"/>
      <c r="E1" s="19"/>
      <c r="F1" s="19"/>
      <c r="G1" s="19"/>
      <c r="H1" s="19"/>
      <c r="J1" s="19" t="s">
        <v>8</v>
      </c>
      <c r="K1" s="19"/>
      <c r="L1" s="19"/>
    </row>
    <row r="2" spans="2:21" ht="6" customHeight="1" x14ac:dyDescent="0.25"/>
    <row r="3" spans="2:21" ht="19.5" customHeight="1" x14ac:dyDescent="0.25">
      <c r="B3" s="18" t="s">
        <v>1</v>
      </c>
      <c r="C3" s="18"/>
      <c r="D3" s="18"/>
      <c r="E3" s="18"/>
      <c r="F3" s="18"/>
      <c r="G3" s="18"/>
      <c r="H3" s="18"/>
      <c r="J3" s="20"/>
      <c r="K3" s="20"/>
      <c r="L3" s="20"/>
    </row>
    <row r="4" spans="2:21" x14ac:dyDescent="0.25">
      <c r="B4" s="3" t="s">
        <v>2</v>
      </c>
      <c r="C4" s="4" t="s">
        <v>7</v>
      </c>
      <c r="D4" s="5" t="s">
        <v>3</v>
      </c>
      <c r="E4" s="5" t="s">
        <v>0</v>
      </c>
      <c r="F4" s="5" t="s">
        <v>4</v>
      </c>
      <c r="G4" s="5" t="s">
        <v>5</v>
      </c>
      <c r="H4" s="5" t="s">
        <v>6</v>
      </c>
      <c r="J4" s="6" t="s">
        <v>7</v>
      </c>
      <c r="K4" s="8" t="s">
        <v>11</v>
      </c>
      <c r="L4" s="7" t="s">
        <v>12</v>
      </c>
    </row>
    <row r="5" spans="2:21" x14ac:dyDescent="0.25">
      <c r="B5" s="13" t="s">
        <v>18</v>
      </c>
      <c r="C5" s="14">
        <v>0</v>
      </c>
      <c r="D5" s="15" t="s">
        <v>19</v>
      </c>
      <c r="E5" s="15" t="s">
        <v>20</v>
      </c>
      <c r="F5" s="15" t="s">
        <v>21</v>
      </c>
      <c r="G5" s="15">
        <v>100</v>
      </c>
      <c r="H5" s="14"/>
      <c r="J5" s="9" t="s">
        <v>13</v>
      </c>
      <c r="K5" s="9">
        <f>COUNTIF(C:C,0)</f>
        <v>5</v>
      </c>
      <c r="L5" s="9">
        <f>COUNTIFS($E:$E,"Finalizada",$C:$C,0)</f>
        <v>5</v>
      </c>
      <c r="T5" t="s">
        <v>17</v>
      </c>
      <c r="U5">
        <f>K9</f>
        <v>5</v>
      </c>
    </row>
    <row r="6" spans="2:21" x14ac:dyDescent="0.25">
      <c r="B6" s="13" t="s">
        <v>24</v>
      </c>
      <c r="C6" s="14">
        <v>0</v>
      </c>
      <c r="D6" s="15" t="s">
        <v>19</v>
      </c>
      <c r="E6" s="15" t="s">
        <v>20</v>
      </c>
      <c r="F6" s="15" t="s">
        <v>21</v>
      </c>
      <c r="G6" s="15">
        <v>100</v>
      </c>
      <c r="H6" s="14"/>
      <c r="J6" s="9" t="s">
        <v>14</v>
      </c>
      <c r="K6" s="9">
        <f>COUNTIF(C:C,1)</f>
        <v>0</v>
      </c>
      <c r="L6" s="9">
        <f>COUNTIFS($E:$E,"Finalizada",$C:$C,1)</f>
        <v>0</v>
      </c>
      <c r="T6" t="s">
        <v>12</v>
      </c>
      <c r="U6">
        <f>L9</f>
        <v>5</v>
      </c>
    </row>
    <row r="7" spans="2:21" x14ac:dyDescent="0.25">
      <c r="B7" s="24" t="s">
        <v>37</v>
      </c>
      <c r="C7" s="22"/>
      <c r="D7" s="23"/>
      <c r="E7" s="23"/>
      <c r="F7" s="23"/>
      <c r="G7" s="23">
        <v>0</v>
      </c>
      <c r="H7" s="22"/>
      <c r="J7" s="9" t="s">
        <v>15</v>
      </c>
      <c r="K7" s="9">
        <f>COUNTIF(C:C,2)</f>
        <v>0</v>
      </c>
      <c r="L7" s="9">
        <f>COUNTIFS($E:$E,"Finalizada",$C:$C,2)</f>
        <v>0</v>
      </c>
      <c r="T7" t="s">
        <v>17</v>
      </c>
      <c r="U7">
        <f>U5-U6</f>
        <v>0</v>
      </c>
    </row>
    <row r="8" spans="2:21" ht="15.75" customHeight="1" x14ac:dyDescent="0.25">
      <c r="B8" s="13" t="s">
        <v>42</v>
      </c>
      <c r="C8" s="14">
        <v>0</v>
      </c>
      <c r="D8" s="15" t="s">
        <v>19</v>
      </c>
      <c r="E8" s="15" t="s">
        <v>20</v>
      </c>
      <c r="F8" s="15" t="s">
        <v>21</v>
      </c>
      <c r="G8" s="15">
        <v>100</v>
      </c>
      <c r="H8" s="14"/>
      <c r="J8" s="9" t="s">
        <v>16</v>
      </c>
      <c r="K8" s="9">
        <f>COUNTIF(C:C,3)</f>
        <v>0</v>
      </c>
      <c r="L8" s="9">
        <f>COUNTIFS($E:$E,"Finalizada",$C:$C,3)</f>
        <v>0</v>
      </c>
    </row>
    <row r="9" spans="2:21" x14ac:dyDescent="0.25">
      <c r="B9" s="25" t="s">
        <v>44</v>
      </c>
      <c r="C9" s="26">
        <v>0</v>
      </c>
      <c r="D9" s="27" t="s">
        <v>19</v>
      </c>
      <c r="E9" s="27" t="s">
        <v>20</v>
      </c>
      <c r="F9" s="27" t="s">
        <v>21</v>
      </c>
      <c r="G9" s="27">
        <v>100</v>
      </c>
      <c r="H9" s="26"/>
      <c r="J9" s="10" t="s">
        <v>10</v>
      </c>
      <c r="K9" s="11">
        <f>SUM(K5:K8)</f>
        <v>5</v>
      </c>
      <c r="L9" s="11">
        <f>SUM(L5:L8)</f>
        <v>5</v>
      </c>
      <c r="T9" t="s">
        <v>9</v>
      </c>
      <c r="U9">
        <f>K5</f>
        <v>5</v>
      </c>
    </row>
    <row r="10" spans="2:21" x14ac:dyDescent="0.25">
      <c r="B10" s="25" t="s">
        <v>43</v>
      </c>
      <c r="C10" s="26">
        <v>0</v>
      </c>
      <c r="D10" s="27" t="s">
        <v>19</v>
      </c>
      <c r="E10" s="27" t="s">
        <v>20</v>
      </c>
      <c r="F10" s="27" t="s">
        <v>21</v>
      </c>
      <c r="G10" s="27">
        <v>100</v>
      </c>
      <c r="H10" s="26"/>
      <c r="J10" s="12"/>
      <c r="K10" s="17"/>
      <c r="L10" s="17"/>
      <c r="T10" t="s">
        <v>12</v>
      </c>
      <c r="U10">
        <f>L5</f>
        <v>5</v>
      </c>
    </row>
    <row r="11" spans="2:21" x14ac:dyDescent="0.25">
      <c r="B11" s="25"/>
      <c r="C11" s="26"/>
      <c r="D11" s="27"/>
      <c r="E11" s="27"/>
      <c r="F11" s="27"/>
      <c r="G11" s="27">
        <v>0</v>
      </c>
      <c r="H11" s="26"/>
      <c r="T11" t="s">
        <v>9</v>
      </c>
      <c r="U11">
        <f>U9-U10</f>
        <v>0</v>
      </c>
    </row>
    <row r="12" spans="2:21" x14ac:dyDescent="0.25">
      <c r="B12" s="25"/>
      <c r="C12" s="26"/>
      <c r="D12" s="27"/>
      <c r="E12" s="27"/>
      <c r="F12" s="27"/>
      <c r="G12" s="27">
        <v>0</v>
      </c>
      <c r="H12" s="26"/>
    </row>
    <row r="13" spans="2:21" x14ac:dyDescent="0.25">
      <c r="B13" s="25"/>
      <c r="C13" s="26"/>
      <c r="D13" s="27"/>
      <c r="E13" s="27"/>
      <c r="F13" s="27"/>
      <c r="G13" s="27">
        <v>0</v>
      </c>
      <c r="H13" s="26"/>
    </row>
    <row r="14" spans="2:21" x14ac:dyDescent="0.25">
      <c r="B14" s="25"/>
      <c r="C14" s="26"/>
      <c r="D14" s="27"/>
      <c r="E14" s="27"/>
      <c r="F14" s="27"/>
      <c r="G14" s="27">
        <v>0</v>
      </c>
      <c r="H14" s="26"/>
    </row>
    <row r="15" spans="2:21" x14ac:dyDescent="0.25">
      <c r="B15" s="25"/>
      <c r="C15" s="26"/>
      <c r="D15" s="27"/>
      <c r="E15" s="27"/>
      <c r="F15" s="27"/>
      <c r="G15" s="27">
        <v>0</v>
      </c>
      <c r="H15" s="26"/>
    </row>
    <row r="16" spans="2:21" x14ac:dyDescent="0.25">
      <c r="B16" s="13"/>
      <c r="C16" s="14"/>
      <c r="D16" s="15"/>
      <c r="E16" s="15"/>
      <c r="F16" s="15"/>
      <c r="G16" s="15">
        <v>0</v>
      </c>
      <c r="H16" s="14"/>
    </row>
    <row r="17" spans="2:8" x14ac:dyDescent="0.25">
      <c r="B17" s="13"/>
      <c r="C17" s="14"/>
      <c r="D17" s="15"/>
      <c r="E17" s="15"/>
      <c r="F17" s="15"/>
      <c r="G17" s="15">
        <v>0</v>
      </c>
      <c r="H17" s="14"/>
    </row>
    <row r="18" spans="2:8" x14ac:dyDescent="0.25">
      <c r="B18" s="13"/>
      <c r="C18" s="14"/>
      <c r="D18" s="15"/>
      <c r="E18" s="15"/>
      <c r="F18" s="15"/>
      <c r="G18" s="15">
        <v>0</v>
      </c>
      <c r="H18" s="14"/>
    </row>
    <row r="19" spans="2:8" x14ac:dyDescent="0.25">
      <c r="B19" s="13"/>
      <c r="C19" s="14"/>
      <c r="D19" s="15"/>
      <c r="E19" s="15"/>
      <c r="F19" s="15"/>
      <c r="G19" s="15">
        <v>0</v>
      </c>
      <c r="H19" s="14"/>
    </row>
    <row r="20" spans="2:8" x14ac:dyDescent="0.25">
      <c r="B20" s="13"/>
      <c r="C20" s="14"/>
      <c r="D20" s="15"/>
      <c r="E20" s="15"/>
      <c r="F20" s="15"/>
      <c r="G20" s="15">
        <v>0</v>
      </c>
      <c r="H20" s="14"/>
    </row>
    <row r="21" spans="2:8" x14ac:dyDescent="0.25">
      <c r="B21" s="13"/>
      <c r="C21" s="14"/>
      <c r="D21" s="15"/>
      <c r="E21" s="15"/>
      <c r="F21" s="15"/>
      <c r="G21" s="15">
        <v>0</v>
      </c>
      <c r="H21" s="14"/>
    </row>
    <row r="22" spans="2:8" x14ac:dyDescent="0.25">
      <c r="B22" s="13"/>
      <c r="C22" s="14"/>
      <c r="D22" s="15"/>
      <c r="E22" s="15"/>
      <c r="F22" s="15"/>
      <c r="G22" s="15">
        <v>0</v>
      </c>
      <c r="H22" s="14"/>
    </row>
    <row r="23" spans="2:8" x14ac:dyDescent="0.25">
      <c r="B23" s="13"/>
      <c r="C23" s="14"/>
      <c r="D23" s="15"/>
      <c r="E23" s="15"/>
      <c r="F23" s="15"/>
      <c r="G23" s="15">
        <v>0</v>
      </c>
      <c r="H23" s="14"/>
    </row>
    <row r="24" spans="2:8" x14ac:dyDescent="0.25">
      <c r="B24" s="13"/>
      <c r="C24" s="14"/>
      <c r="D24" s="15"/>
      <c r="E24" s="15"/>
      <c r="F24" s="15"/>
      <c r="G24" s="15">
        <v>0</v>
      </c>
      <c r="H24" s="14"/>
    </row>
    <row r="25" spans="2:8" x14ac:dyDescent="0.25">
      <c r="B25" s="13"/>
      <c r="C25" s="14"/>
      <c r="D25" s="15"/>
      <c r="E25" s="15"/>
      <c r="F25" s="15"/>
      <c r="G25" s="15">
        <v>0</v>
      </c>
      <c r="H25" s="14"/>
    </row>
    <row r="26" spans="2:8" x14ac:dyDescent="0.25">
      <c r="B26" s="13"/>
      <c r="C26" s="14"/>
      <c r="D26" s="15"/>
      <c r="E26" s="15"/>
      <c r="F26" s="15"/>
      <c r="G26" s="15">
        <v>0</v>
      </c>
      <c r="H26" s="14"/>
    </row>
    <row r="27" spans="2:8" x14ac:dyDescent="0.25">
      <c r="B27" s="13"/>
      <c r="C27" s="14"/>
      <c r="D27" s="15"/>
      <c r="E27" s="15"/>
      <c r="F27" s="15"/>
      <c r="G27" s="15">
        <v>0</v>
      </c>
      <c r="H27" s="14"/>
    </row>
    <row r="28" spans="2:8" x14ac:dyDescent="0.25">
      <c r="B28" s="13"/>
      <c r="C28" s="14"/>
      <c r="D28" s="15"/>
      <c r="E28" s="15"/>
      <c r="F28" s="15"/>
      <c r="G28" s="15">
        <v>0</v>
      </c>
      <c r="H28" s="14"/>
    </row>
    <row r="29" spans="2:8" x14ac:dyDescent="0.25">
      <c r="B29" s="13"/>
      <c r="C29" s="14"/>
      <c r="D29" s="15"/>
      <c r="E29" s="15"/>
      <c r="F29" s="15"/>
      <c r="G29" s="15">
        <v>0</v>
      </c>
      <c r="H29" s="14"/>
    </row>
    <row r="30" spans="2:8" x14ac:dyDescent="0.25">
      <c r="B30" s="13"/>
      <c r="C30" s="14"/>
      <c r="D30" s="15"/>
      <c r="E30" s="15"/>
      <c r="F30" s="15"/>
      <c r="G30" s="15">
        <v>0</v>
      </c>
      <c r="H30" s="14"/>
    </row>
    <row r="31" spans="2:8" x14ac:dyDescent="0.25">
      <c r="B31" s="13"/>
      <c r="C31" s="14"/>
      <c r="D31" s="15"/>
      <c r="E31" s="15"/>
      <c r="F31" s="15"/>
      <c r="G31" s="15">
        <v>0</v>
      </c>
      <c r="H31" s="14"/>
    </row>
    <row r="32" spans="2:8" x14ac:dyDescent="0.25">
      <c r="B32" s="13"/>
      <c r="C32" s="14"/>
      <c r="D32" s="15"/>
      <c r="E32" s="15"/>
      <c r="F32" s="15"/>
      <c r="G32" s="15">
        <v>0</v>
      </c>
      <c r="H32" s="14"/>
    </row>
    <row r="33" spans="2:8" x14ac:dyDescent="0.25">
      <c r="B33" s="13"/>
      <c r="C33" s="14"/>
      <c r="D33" s="15"/>
      <c r="E33" s="15"/>
      <c r="F33" s="15"/>
      <c r="G33" s="15">
        <v>0</v>
      </c>
      <c r="H33" s="14"/>
    </row>
    <row r="34" spans="2:8" x14ac:dyDescent="0.25">
      <c r="B34" s="13"/>
      <c r="C34" s="14"/>
      <c r="D34" s="15"/>
      <c r="E34" s="15"/>
      <c r="F34" s="15"/>
      <c r="G34" s="15">
        <v>0</v>
      </c>
      <c r="H34" s="14"/>
    </row>
    <row r="35" spans="2:8" x14ac:dyDescent="0.25">
      <c r="B35" s="13"/>
      <c r="C35" s="14"/>
      <c r="D35" s="15"/>
      <c r="E35" s="15"/>
      <c r="F35" s="15"/>
      <c r="G35" s="15">
        <v>0</v>
      </c>
      <c r="H35" s="14"/>
    </row>
    <row r="36" spans="2:8" x14ac:dyDescent="0.25">
      <c r="B36" s="13"/>
      <c r="C36" s="14"/>
      <c r="D36" s="15"/>
      <c r="E36" s="15"/>
      <c r="F36" s="15"/>
      <c r="G36" s="15">
        <v>0</v>
      </c>
      <c r="H36" s="14"/>
    </row>
    <row r="37" spans="2:8" x14ac:dyDescent="0.25">
      <c r="B37" s="13"/>
      <c r="C37" s="14"/>
      <c r="D37" s="15"/>
      <c r="E37" s="15"/>
      <c r="F37" s="15"/>
      <c r="G37" s="15">
        <v>0</v>
      </c>
      <c r="H37" s="14"/>
    </row>
    <row r="38" spans="2:8" x14ac:dyDescent="0.25">
      <c r="B38" s="13"/>
      <c r="C38" s="14"/>
      <c r="D38" s="15"/>
      <c r="E38" s="15"/>
      <c r="F38" s="15"/>
      <c r="G38" s="15">
        <v>0</v>
      </c>
      <c r="H38" s="14"/>
    </row>
    <row r="39" spans="2:8" x14ac:dyDescent="0.25">
      <c r="B39" s="13"/>
      <c r="C39" s="14"/>
      <c r="D39" s="15"/>
      <c r="E39" s="15"/>
      <c r="F39" s="15"/>
      <c r="G39" s="15">
        <v>0</v>
      </c>
      <c r="H39" s="14"/>
    </row>
  </sheetData>
  <mergeCells count="5">
    <mergeCell ref="B1:H1"/>
    <mergeCell ref="J1:L1"/>
    <mergeCell ref="B3:H3"/>
    <mergeCell ref="J3:L3"/>
    <mergeCell ref="K10:L10"/>
  </mergeCells>
  <conditionalFormatting sqref="E1:E1048576">
    <cfRule type="containsText" dxfId="1" priority="1" operator="containsText" text="Em andamento">
      <formula>NOT(ISERROR(SEARCH("Em andamento",E1)))</formula>
    </cfRule>
    <cfRule type="cellIs" dxfId="0" priority="2" operator="equal">
      <formula>"Finalizada"</formula>
    </cfRule>
  </conditionalFormatting>
  <conditionalFormatting sqref="G1:G1048576">
    <cfRule type="dataBar" priority="52">
      <dataBar>
        <cfvo type="percent" val="0"/>
        <cfvo type="percent" val="100"/>
        <color theme="8" tint="0.39997558519241921"/>
      </dataBar>
      <extLst>
        <ext xmlns:x14="http://schemas.microsoft.com/office/spreadsheetml/2009/9/main" uri="{B025F937-C7B1-47D3-B67F-A62EFF666E3E}">
          <x14:id>{2DDDAE6C-A87A-4E3C-941E-0CAC6E6C6F20}</x14:id>
        </ext>
      </extLst>
    </cfRule>
    <cfRule type="dataBar" priority="53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{8E820104-645B-492D-9F9E-8459EECFFCCC}</x14:id>
        </ext>
      </extLst>
    </cfRule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{26574793-A703-4E56-8888-EDEF6CDCFDCB}</x14:id>
        </ext>
      </extLst>
    </cfRule>
  </conditionalFormatting>
  <conditionalFormatting sqref="G5:G39">
    <cfRule type="dataBar" priority="64">
      <dataBar>
        <cfvo type="percent" val="0"/>
        <cfvo type="percent" val="100"/>
        <color theme="8" tint="0.59999389629810485"/>
      </dataBar>
      <extLst>
        <ext xmlns:x14="http://schemas.microsoft.com/office/spreadsheetml/2009/9/main" uri="{B025F937-C7B1-47D3-B67F-A62EFF666E3E}">
          <x14:id>{3FFA1975-9CB9-4530-9CD7-94A3B9FFA346}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DDAE6C-A87A-4E3C-941E-0CAC6E6C6F20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8E820104-645B-492D-9F9E-8459EECFFCCC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26574793-A703-4E56-8888-EDEF6CDCFD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3FFA1975-9CB9-4530-9CD7-94A3B9FFA346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G5:G39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Cotacoes</vt:lpstr>
      <vt:lpstr>Portal</vt:lpstr>
      <vt:lpstr>API</vt:lpstr>
      <vt:lpstr>Banco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Jose Chicrala</dc:creator>
  <cp:lastModifiedBy>Alexandre Jose Chicrala</cp:lastModifiedBy>
  <dcterms:created xsi:type="dcterms:W3CDTF">2025-12-19T13:16:45Z</dcterms:created>
  <dcterms:modified xsi:type="dcterms:W3CDTF">2026-01-11T15:17:35Z</dcterms:modified>
</cp:coreProperties>
</file>